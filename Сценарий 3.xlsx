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orld\Desktop\macros\"/>
    </mc:Choice>
  </mc:AlternateContent>
  <xr:revisionPtr revIDLastSave="0" documentId="13_ncr:1_{F45B0572-73C0-4DDC-81F6-68D4F356BF5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Расчётная модель SIP" sheetId="1" r:id="rId1"/>
    <sheet name="Данные по перфомансу" sheetId="2" r:id="rId2"/>
    <sheet name="Сводная таблица" sheetId="3" r:id="rId3"/>
    <sheet name="Сценарий 2" sheetId="4" r:id="rId4"/>
    <sheet name="Сценарий 3" sheetId="5" r:id="rId5"/>
    <sheet name="Сценарий 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F9" i="1"/>
  <c r="E9" i="1"/>
  <c r="D9" i="1"/>
  <c r="C9" i="1"/>
  <c r="I19" i="3"/>
  <c r="G23" i="1"/>
  <c r="H20" i="3"/>
  <c r="Q5" i="3"/>
  <c r="H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L52" i="3"/>
  <c r="K52" i="3"/>
  <c r="J52" i="3"/>
  <c r="M52" i="3" s="1"/>
  <c r="I52" i="3"/>
  <c r="F52" i="3"/>
  <c r="H52" i="3" s="1"/>
  <c r="E52" i="3"/>
  <c r="G52" i="3" s="1"/>
  <c r="N51" i="3"/>
  <c r="M51" i="3"/>
  <c r="N50" i="3"/>
  <c r="M50" i="3"/>
  <c r="N49" i="3"/>
  <c r="M49" i="3"/>
  <c r="N48" i="3"/>
  <c r="M48" i="3"/>
  <c r="T47" i="3"/>
  <c r="Q47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5" i="3"/>
  <c r="R70" i="2"/>
  <c r="L70" i="1"/>
  <c r="L56" i="1"/>
  <c r="Q60" i="1"/>
  <c r="R74" i="1"/>
  <c r="M61" i="1"/>
  <c r="R61" i="1"/>
  <c r="R62" i="1"/>
  <c r="R63" i="1"/>
  <c r="R64" i="1"/>
  <c r="R65" i="1"/>
  <c r="R66" i="1"/>
  <c r="R67" i="1"/>
  <c r="R68" i="1"/>
  <c r="R69" i="1"/>
  <c r="R70" i="1"/>
  <c r="R60" i="1"/>
  <c r="V60" i="1"/>
  <c r="W61" i="1"/>
  <c r="W62" i="1"/>
  <c r="W63" i="1"/>
  <c r="W64" i="1"/>
  <c r="W65" i="1"/>
  <c r="W66" i="1"/>
  <c r="W67" i="1"/>
  <c r="W68" i="1"/>
  <c r="W69" i="1"/>
  <c r="W70" i="1"/>
  <c r="W60" i="1"/>
  <c r="AB70" i="1"/>
  <c r="AB62" i="1"/>
  <c r="AB61" i="1"/>
  <c r="AB63" i="1"/>
  <c r="AB64" i="1"/>
  <c r="AB65" i="1"/>
  <c r="AB66" i="1"/>
  <c r="AB67" i="1"/>
  <c r="AB68" i="1"/>
  <c r="AB69" i="1"/>
  <c r="AB60" i="1"/>
  <c r="AG60" i="1"/>
  <c r="AG62" i="1"/>
  <c r="AG61" i="1"/>
  <c r="AF84" i="1"/>
  <c r="AA84" i="1"/>
  <c r="V84" i="1"/>
  <c r="Q84" i="1"/>
  <c r="L84" i="1"/>
  <c r="C23" i="1"/>
  <c r="B21" i="1"/>
  <c r="AA56" i="1"/>
  <c r="AL7" i="1"/>
  <c r="AL6" i="1"/>
  <c r="AL5" i="1"/>
  <c r="AL4" i="1"/>
  <c r="AL3" i="1"/>
  <c r="V56" i="1"/>
  <c r="V46" i="1"/>
  <c r="AI84" i="6"/>
  <c r="AG84" i="6"/>
  <c r="AD84" i="6"/>
  <c r="AA84" i="6"/>
  <c r="AA74" i="6" s="1"/>
  <c r="AA75" i="6" s="1"/>
  <c r="AA76" i="6" s="1"/>
  <c r="AA77" i="6" s="1"/>
  <c r="AA78" i="6" s="1"/>
  <c r="AA79" i="6" s="1"/>
  <c r="Y84" i="6"/>
  <c r="V84" i="6"/>
  <c r="T84" i="6"/>
  <c r="Q84" i="6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O84" i="6"/>
  <c r="L84" i="6"/>
  <c r="AI83" i="6"/>
  <c r="AD83" i="6"/>
  <c r="Y83" i="6"/>
  <c r="T83" i="6"/>
  <c r="O83" i="6"/>
  <c r="AI82" i="6"/>
  <c r="AD82" i="6"/>
  <c r="Y82" i="6"/>
  <c r="T82" i="6"/>
  <c r="O82" i="6"/>
  <c r="AI81" i="6"/>
  <c r="AD81" i="6"/>
  <c r="Y81" i="6"/>
  <c r="T81" i="6"/>
  <c r="O81" i="6"/>
  <c r="AI80" i="6"/>
  <c r="AD80" i="6"/>
  <c r="AA80" i="6"/>
  <c r="AA81" i="6" s="1"/>
  <c r="AA82" i="6" s="1"/>
  <c r="AA83" i="6" s="1"/>
  <c r="Y80" i="6"/>
  <c r="T80" i="6"/>
  <c r="O80" i="6"/>
  <c r="AI79" i="6"/>
  <c r="AD79" i="6"/>
  <c r="Y79" i="6"/>
  <c r="T79" i="6"/>
  <c r="O79" i="6"/>
  <c r="AI78" i="6"/>
  <c r="AD78" i="6"/>
  <c r="Y78" i="6"/>
  <c r="V78" i="6"/>
  <c r="V79" i="6" s="1"/>
  <c r="V80" i="6" s="1"/>
  <c r="V81" i="6" s="1"/>
  <c r="V82" i="6" s="1"/>
  <c r="V83" i="6" s="1"/>
  <c r="T78" i="6"/>
  <c r="O78" i="6"/>
  <c r="AI77" i="6"/>
  <c r="AD77" i="6"/>
  <c r="Y77" i="6"/>
  <c r="T77" i="6"/>
  <c r="O77" i="6"/>
  <c r="AI76" i="6"/>
  <c r="AD76" i="6"/>
  <c r="Y76" i="6"/>
  <c r="T76" i="6"/>
  <c r="O76" i="6"/>
  <c r="AI75" i="6"/>
  <c r="AG75" i="6"/>
  <c r="AF75" i="6"/>
  <c r="AF76" i="6" s="1"/>
  <c r="AD75" i="6"/>
  <c r="Y75" i="6"/>
  <c r="T75" i="6"/>
  <c r="O75" i="6"/>
  <c r="AI74" i="6"/>
  <c r="AG74" i="6"/>
  <c r="AD74" i="6"/>
  <c r="Y74" i="6"/>
  <c r="V74" i="6"/>
  <c r="V75" i="6" s="1"/>
  <c r="V76" i="6" s="1"/>
  <c r="V77" i="6" s="1"/>
  <c r="T74" i="6"/>
  <c r="O74" i="6"/>
  <c r="L74" i="6"/>
  <c r="L75" i="6" s="1"/>
  <c r="L76" i="6" s="1"/>
  <c r="L77" i="6" s="1"/>
  <c r="L78" i="6" s="1"/>
  <c r="L79" i="6" s="1"/>
  <c r="L80" i="6" s="1"/>
  <c r="L81" i="6" s="1"/>
  <c r="L82" i="6" s="1"/>
  <c r="L83" i="6" s="1"/>
  <c r="AI72" i="6"/>
  <c r="AF72" i="6"/>
  <c r="AG72" i="6" s="1"/>
  <c r="AD72" i="6"/>
  <c r="AB72" i="6"/>
  <c r="AA72" i="6"/>
  <c r="Y72" i="6"/>
  <c r="V72" i="6"/>
  <c r="W72" i="6" s="1"/>
  <c r="T72" i="6"/>
  <c r="Q72" i="6"/>
  <c r="R72" i="6" s="1"/>
  <c r="O72" i="6"/>
  <c r="L72" i="6"/>
  <c r="M72" i="6" s="1"/>
  <c r="AI70" i="6"/>
  <c r="AF70" i="6"/>
  <c r="AD70" i="6"/>
  <c r="AA70" i="6"/>
  <c r="AF60" i="6" s="1"/>
  <c r="Y70" i="6"/>
  <c r="V70" i="6"/>
  <c r="T70" i="6"/>
  <c r="Q70" i="6"/>
  <c r="O70" i="6"/>
  <c r="L70" i="6"/>
  <c r="AI69" i="6"/>
  <c r="AD69" i="6"/>
  <c r="Y69" i="6"/>
  <c r="T69" i="6"/>
  <c r="O69" i="6"/>
  <c r="AI68" i="6"/>
  <c r="AD68" i="6"/>
  <c r="Y68" i="6"/>
  <c r="T68" i="6"/>
  <c r="O68" i="6"/>
  <c r="AI67" i="6"/>
  <c r="AD67" i="6"/>
  <c r="Y67" i="6"/>
  <c r="T67" i="6"/>
  <c r="O67" i="6"/>
  <c r="AI66" i="6"/>
  <c r="AD66" i="6"/>
  <c r="Y66" i="6"/>
  <c r="T66" i="6"/>
  <c r="O66" i="6"/>
  <c r="AI65" i="6"/>
  <c r="AD65" i="6"/>
  <c r="Y65" i="6"/>
  <c r="T65" i="6"/>
  <c r="O65" i="6"/>
  <c r="AI64" i="6"/>
  <c r="AD64" i="6"/>
  <c r="Y64" i="6"/>
  <c r="T64" i="6"/>
  <c r="O64" i="6"/>
  <c r="AI63" i="6"/>
  <c r="AD63" i="6"/>
  <c r="Y63" i="6"/>
  <c r="T63" i="6"/>
  <c r="Q63" i="6"/>
  <c r="Q64" i="6" s="1"/>
  <c r="Q65" i="6" s="1"/>
  <c r="Q66" i="6" s="1"/>
  <c r="Q67" i="6" s="1"/>
  <c r="Q68" i="6" s="1"/>
  <c r="Q69" i="6" s="1"/>
  <c r="O63" i="6"/>
  <c r="AI62" i="6"/>
  <c r="AD62" i="6"/>
  <c r="Y62" i="6"/>
  <c r="T62" i="6"/>
  <c r="O62" i="6"/>
  <c r="AI61" i="6"/>
  <c r="AD61" i="6"/>
  <c r="Y61" i="6"/>
  <c r="T61" i="6"/>
  <c r="Q61" i="6"/>
  <c r="Q62" i="6" s="1"/>
  <c r="O61" i="6"/>
  <c r="AI60" i="6"/>
  <c r="AD60" i="6"/>
  <c r="AA60" i="6"/>
  <c r="AB60" i="6" s="1"/>
  <c r="Y60" i="6"/>
  <c r="V60" i="6"/>
  <c r="V61" i="6" s="1"/>
  <c r="V62" i="6" s="1"/>
  <c r="V63" i="6" s="1"/>
  <c r="V64" i="6" s="1"/>
  <c r="V65" i="6" s="1"/>
  <c r="V66" i="6" s="1"/>
  <c r="V67" i="6" s="1"/>
  <c r="V68" i="6" s="1"/>
  <c r="V69" i="6" s="1"/>
  <c r="T60" i="6"/>
  <c r="Q60" i="6"/>
  <c r="O60" i="6"/>
  <c r="L60" i="6"/>
  <c r="L61" i="6" s="1"/>
  <c r="L62" i="6" s="1"/>
  <c r="L63" i="6" s="1"/>
  <c r="L64" i="6" s="1"/>
  <c r="L65" i="6" s="1"/>
  <c r="L66" i="6" s="1"/>
  <c r="L67" i="6" s="1"/>
  <c r="L68" i="6" s="1"/>
  <c r="L69" i="6" s="1"/>
  <c r="AI58" i="6"/>
  <c r="AG58" i="6"/>
  <c r="AF58" i="6"/>
  <c r="AD58" i="6"/>
  <c r="AA58" i="6"/>
  <c r="AB58" i="6" s="1"/>
  <c r="Y58" i="6"/>
  <c r="W58" i="6"/>
  <c r="V58" i="6"/>
  <c r="T58" i="6"/>
  <c r="Q58" i="6"/>
  <c r="R58" i="6" s="1"/>
  <c r="O58" i="6"/>
  <c r="M58" i="6"/>
  <c r="L58" i="6"/>
  <c r="AI56" i="6"/>
  <c r="AF56" i="6"/>
  <c r="AG56" i="6" s="1"/>
  <c r="AD56" i="6"/>
  <c r="AB56" i="6"/>
  <c r="AA56" i="6"/>
  <c r="Y56" i="6"/>
  <c r="V56" i="6"/>
  <c r="W56" i="6" s="1"/>
  <c r="T56" i="6"/>
  <c r="T55" i="6" s="1"/>
  <c r="R56" i="6"/>
  <c r="Q56" i="6"/>
  <c r="O56" i="6"/>
  <c r="L56" i="6"/>
  <c r="L46" i="6" s="1"/>
  <c r="AI55" i="6"/>
  <c r="AD55" i="6"/>
  <c r="O55" i="6"/>
  <c r="AI54" i="6"/>
  <c r="AD54" i="6"/>
  <c r="T54" i="6"/>
  <c r="O54" i="6"/>
  <c r="AI53" i="6"/>
  <c r="AD53" i="6"/>
  <c r="T53" i="6"/>
  <c r="O53" i="6"/>
  <c r="AI52" i="6"/>
  <c r="AD52" i="6"/>
  <c r="Y52" i="6"/>
  <c r="T52" i="6"/>
  <c r="O52" i="6"/>
  <c r="AI51" i="6"/>
  <c r="AD51" i="6"/>
  <c r="T51" i="6"/>
  <c r="O51" i="6"/>
  <c r="AI50" i="6"/>
  <c r="AD50" i="6"/>
  <c r="T50" i="6"/>
  <c r="O50" i="6"/>
  <c r="AI49" i="6"/>
  <c r="AD49" i="6"/>
  <c r="T49" i="6"/>
  <c r="O49" i="6"/>
  <c r="AI48" i="6"/>
  <c r="AD48" i="6"/>
  <c r="Y48" i="6"/>
  <c r="T48" i="6"/>
  <c r="O48" i="6"/>
  <c r="AI47" i="6"/>
  <c r="AD47" i="6"/>
  <c r="T47" i="6"/>
  <c r="Q47" i="6"/>
  <c r="Q48" i="6" s="1"/>
  <c r="O47" i="6"/>
  <c r="AI46" i="6"/>
  <c r="AF46" i="6"/>
  <c r="AG46" i="6" s="1"/>
  <c r="AD46" i="6"/>
  <c r="AB46" i="6"/>
  <c r="AA46" i="6"/>
  <c r="AA47" i="6" s="1"/>
  <c r="V46" i="6"/>
  <c r="V47" i="6" s="1"/>
  <c r="T46" i="6"/>
  <c r="R46" i="6"/>
  <c r="Q46" i="6"/>
  <c r="O46" i="6"/>
  <c r="AI44" i="6"/>
  <c r="AG44" i="6"/>
  <c r="AF44" i="6"/>
  <c r="AD44" i="6"/>
  <c r="AA44" i="6"/>
  <c r="AB44" i="6" s="1"/>
  <c r="Y44" i="6"/>
  <c r="W44" i="6"/>
  <c r="V44" i="6"/>
  <c r="T44" i="6"/>
  <c r="Q44" i="6"/>
  <c r="R44" i="6" s="1"/>
  <c r="O44" i="6"/>
  <c r="M44" i="6"/>
  <c r="L44" i="6"/>
  <c r="AI42" i="6"/>
  <c r="AF42" i="6"/>
  <c r="AG42" i="6" s="1"/>
  <c r="AD42" i="6"/>
  <c r="AB42" i="6"/>
  <c r="AA42" i="6"/>
  <c r="Y42" i="6"/>
  <c r="Y34" i="6" s="1"/>
  <c r="V42" i="6"/>
  <c r="W42" i="6" s="1"/>
  <c r="T42" i="6"/>
  <c r="T41" i="6" s="1"/>
  <c r="R42" i="6"/>
  <c r="Q42" i="6"/>
  <c r="O42" i="6"/>
  <c r="L42" i="6"/>
  <c r="L32" i="6" s="1"/>
  <c r="AI41" i="6"/>
  <c r="AD41" i="6"/>
  <c r="O41" i="6"/>
  <c r="AI40" i="6"/>
  <c r="AD40" i="6"/>
  <c r="T40" i="6"/>
  <c r="O40" i="6"/>
  <c r="AI39" i="6"/>
  <c r="AD39" i="6"/>
  <c r="T39" i="6"/>
  <c r="O39" i="6"/>
  <c r="AI38" i="6"/>
  <c r="AD38" i="6"/>
  <c r="T38" i="6"/>
  <c r="O38" i="6"/>
  <c r="AI37" i="6"/>
  <c r="AD37" i="6"/>
  <c r="T37" i="6"/>
  <c r="O37" i="6"/>
  <c r="AI36" i="6"/>
  <c r="AD36" i="6"/>
  <c r="T36" i="6"/>
  <c r="O36" i="6"/>
  <c r="AI35" i="6"/>
  <c r="AD35" i="6"/>
  <c r="T35" i="6"/>
  <c r="O35" i="6"/>
  <c r="AI34" i="6"/>
  <c r="AD34" i="6"/>
  <c r="T34" i="6"/>
  <c r="O34" i="6"/>
  <c r="AI33" i="6"/>
  <c r="AD33" i="6"/>
  <c r="T33" i="6"/>
  <c r="Q33" i="6"/>
  <c r="Q34" i="6" s="1"/>
  <c r="O33" i="6"/>
  <c r="AI32" i="6"/>
  <c r="AF32" i="6"/>
  <c r="AG32" i="6" s="1"/>
  <c r="AD32" i="6"/>
  <c r="AB32" i="6"/>
  <c r="AA32" i="6"/>
  <c r="AA33" i="6" s="1"/>
  <c r="V32" i="6"/>
  <c r="V33" i="6" s="1"/>
  <c r="T32" i="6"/>
  <c r="R32" i="6"/>
  <c r="Q32" i="6"/>
  <c r="O32" i="6"/>
  <c r="AI30" i="6"/>
  <c r="AG30" i="6"/>
  <c r="AF30" i="6"/>
  <c r="AD30" i="6"/>
  <c r="AA30" i="6"/>
  <c r="AB30" i="6" s="1"/>
  <c r="Y30" i="6"/>
  <c r="W30" i="6"/>
  <c r="V30" i="6"/>
  <c r="T30" i="6"/>
  <c r="Q30" i="6"/>
  <c r="R30" i="6" s="1"/>
  <c r="O30" i="6"/>
  <c r="M30" i="6"/>
  <c r="L30" i="6"/>
  <c r="AI28" i="6"/>
  <c r="AF28" i="6"/>
  <c r="AD28" i="6"/>
  <c r="AA28" i="6"/>
  <c r="AA18" i="6" s="1"/>
  <c r="AA19" i="6" s="1"/>
  <c r="Y28" i="6"/>
  <c r="V28" i="6"/>
  <c r="V18" i="6" s="1"/>
  <c r="V19" i="6" s="1"/>
  <c r="V20" i="6" s="1"/>
  <c r="V21" i="6" s="1"/>
  <c r="V22" i="6" s="1"/>
  <c r="T28" i="6"/>
  <c r="Q28" i="6"/>
  <c r="O28" i="6"/>
  <c r="M28" i="6"/>
  <c r="L28" i="6"/>
  <c r="AI27" i="6"/>
  <c r="AD27" i="6"/>
  <c r="Y27" i="6"/>
  <c r="T27" i="6"/>
  <c r="O27" i="6"/>
  <c r="AI26" i="6"/>
  <c r="AD26" i="6"/>
  <c r="Y26" i="6"/>
  <c r="T26" i="6"/>
  <c r="O26" i="6"/>
  <c r="AI25" i="6"/>
  <c r="AD25" i="6"/>
  <c r="Y25" i="6"/>
  <c r="T25" i="6"/>
  <c r="O25" i="6"/>
  <c r="AI24" i="6"/>
  <c r="AD24" i="6"/>
  <c r="Y24" i="6"/>
  <c r="V24" i="6"/>
  <c r="V25" i="6" s="1"/>
  <c r="V26" i="6" s="1"/>
  <c r="V27" i="6" s="1"/>
  <c r="T24" i="6"/>
  <c r="O24" i="6"/>
  <c r="AI23" i="6"/>
  <c r="AD23" i="6"/>
  <c r="Y23" i="6"/>
  <c r="V23" i="6"/>
  <c r="T23" i="6"/>
  <c r="O23" i="6"/>
  <c r="I23" i="6"/>
  <c r="H23" i="6"/>
  <c r="F23" i="6"/>
  <c r="E23" i="6"/>
  <c r="D23" i="6"/>
  <c r="C23" i="6"/>
  <c r="AI22" i="6"/>
  <c r="AD22" i="6"/>
  <c r="Y22" i="6"/>
  <c r="T22" i="6"/>
  <c r="O22" i="6"/>
  <c r="G22" i="6"/>
  <c r="J22" i="6" s="1"/>
  <c r="B22" i="6"/>
  <c r="AI21" i="6"/>
  <c r="AD21" i="6"/>
  <c r="Y21" i="6"/>
  <c r="T21" i="6"/>
  <c r="O21" i="6"/>
  <c r="G21" i="6"/>
  <c r="J21" i="6" s="1"/>
  <c r="B21" i="6"/>
  <c r="AI20" i="6"/>
  <c r="AD20" i="6"/>
  <c r="AA20" i="6"/>
  <c r="AA21" i="6" s="1"/>
  <c r="AA22" i="6" s="1"/>
  <c r="AA23" i="6" s="1"/>
  <c r="AA24" i="6" s="1"/>
  <c r="AA25" i="6" s="1"/>
  <c r="AA26" i="6" s="1"/>
  <c r="AA27" i="6" s="1"/>
  <c r="Y20" i="6"/>
  <c r="T20" i="6"/>
  <c r="Q20" i="6"/>
  <c r="Q21" i="6" s="1"/>
  <c r="Q22" i="6" s="1"/>
  <c r="Q23" i="6" s="1"/>
  <c r="Q24" i="6" s="1"/>
  <c r="Q25" i="6" s="1"/>
  <c r="Q26" i="6" s="1"/>
  <c r="Q27" i="6" s="1"/>
  <c r="O20" i="6"/>
  <c r="J20" i="6"/>
  <c r="G20" i="6"/>
  <c r="B20" i="6"/>
  <c r="AI19" i="6"/>
  <c r="AD19" i="6"/>
  <c r="Y19" i="6"/>
  <c r="T19" i="6"/>
  <c r="O19" i="6"/>
  <c r="L19" i="6"/>
  <c r="L20" i="6" s="1"/>
  <c r="M20" i="6" s="1"/>
  <c r="G19" i="6"/>
  <c r="B19" i="6"/>
  <c r="AI18" i="6"/>
  <c r="AF18" i="6"/>
  <c r="AD18" i="6"/>
  <c r="Y18" i="6"/>
  <c r="T18" i="6"/>
  <c r="Q18" i="6"/>
  <c r="Q19" i="6" s="1"/>
  <c r="O18" i="6"/>
  <c r="M18" i="6"/>
  <c r="L18" i="6"/>
  <c r="G18" i="6"/>
  <c r="J18" i="6" s="1"/>
  <c r="B18" i="6"/>
  <c r="G17" i="6"/>
  <c r="J17" i="6" s="1"/>
  <c r="B17" i="6"/>
  <c r="AI16" i="6"/>
  <c r="AF16" i="6"/>
  <c r="AG16" i="6" s="1"/>
  <c r="AD16" i="6"/>
  <c r="AB16" i="6"/>
  <c r="AA16" i="6"/>
  <c r="Y16" i="6"/>
  <c r="V16" i="6"/>
  <c r="W16" i="6" s="1"/>
  <c r="T16" i="6"/>
  <c r="Q16" i="6"/>
  <c r="R16" i="6" s="1"/>
  <c r="O16" i="6"/>
  <c r="L16" i="6"/>
  <c r="M16" i="6" s="1"/>
  <c r="AI14" i="6"/>
  <c r="AI13" i="6" s="1"/>
  <c r="AF14" i="6"/>
  <c r="AD14" i="6"/>
  <c r="AD13" i="6" s="1"/>
  <c r="AA14" i="6"/>
  <c r="Y14" i="6"/>
  <c r="V14" i="6"/>
  <c r="W14" i="6" s="1"/>
  <c r="T14" i="6"/>
  <c r="Q14" i="6"/>
  <c r="Q4" i="6" s="1"/>
  <c r="R4" i="6" s="1"/>
  <c r="O14" i="6"/>
  <c r="O13" i="6" s="1"/>
  <c r="M14" i="6"/>
  <c r="L14" i="6"/>
  <c r="L4" i="6" s="1"/>
  <c r="Y13" i="6"/>
  <c r="AD12" i="6"/>
  <c r="Y12" i="6"/>
  <c r="AI11" i="6"/>
  <c r="AD11" i="6"/>
  <c r="Y11" i="6"/>
  <c r="O11" i="6"/>
  <c r="AI10" i="6"/>
  <c r="AD10" i="6"/>
  <c r="Y10" i="6"/>
  <c r="T10" i="6"/>
  <c r="O10" i="6"/>
  <c r="AD9" i="6"/>
  <c r="Y9" i="6"/>
  <c r="G9" i="6"/>
  <c r="F9" i="6"/>
  <c r="E9" i="6"/>
  <c r="D9" i="6"/>
  <c r="C9" i="6"/>
  <c r="AL8" i="6"/>
  <c r="AI8" i="6"/>
  <c r="AD8" i="6"/>
  <c r="Y8" i="6"/>
  <c r="O8" i="6"/>
  <c r="AL7" i="6"/>
  <c r="AD7" i="6"/>
  <c r="Y7" i="6"/>
  <c r="T7" i="6"/>
  <c r="AL6" i="6"/>
  <c r="AI6" i="6"/>
  <c r="AD6" i="6"/>
  <c r="Y6" i="6"/>
  <c r="T6" i="6"/>
  <c r="O6" i="6"/>
  <c r="AL5" i="6"/>
  <c r="AI5" i="6"/>
  <c r="AD5" i="6"/>
  <c r="Y5" i="6"/>
  <c r="W5" i="6"/>
  <c r="V5" i="6"/>
  <c r="V6" i="6" s="1"/>
  <c r="T5" i="6"/>
  <c r="Q5" i="6"/>
  <c r="O5" i="6"/>
  <c r="AL4" i="6"/>
  <c r="AD4" i="6"/>
  <c r="Y4" i="6"/>
  <c r="W4" i="6"/>
  <c r="V4" i="6"/>
  <c r="T4" i="6"/>
  <c r="O4" i="6"/>
  <c r="AL3" i="6"/>
  <c r="AI2" i="6"/>
  <c r="AG2" i="6"/>
  <c r="AF2" i="6"/>
  <c r="AD2" i="6"/>
  <c r="AA2" i="6"/>
  <c r="AB2" i="6" s="1"/>
  <c r="Y2" i="6"/>
  <c r="W2" i="6"/>
  <c r="V2" i="6"/>
  <c r="T2" i="6"/>
  <c r="Q2" i="6"/>
  <c r="R2" i="6" s="1"/>
  <c r="O2" i="6"/>
  <c r="M2" i="6"/>
  <c r="L2" i="6"/>
  <c r="AI84" i="5"/>
  <c r="AF84" i="5"/>
  <c r="AG84" i="5" s="1"/>
  <c r="AD84" i="5"/>
  <c r="AD74" i="5" s="1"/>
  <c r="AA84" i="5"/>
  <c r="Y84" i="5"/>
  <c r="V84" i="5"/>
  <c r="V74" i="5" s="1"/>
  <c r="V75" i="5" s="1"/>
  <c r="T84" i="5"/>
  <c r="Q84" i="5"/>
  <c r="O84" i="5"/>
  <c r="O79" i="5" s="1"/>
  <c r="L84" i="5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AD83" i="5"/>
  <c r="Y83" i="5"/>
  <c r="T83" i="5"/>
  <c r="O83" i="5"/>
  <c r="Y82" i="5"/>
  <c r="T82" i="5"/>
  <c r="AD81" i="5"/>
  <c r="Y81" i="5"/>
  <c r="T81" i="5"/>
  <c r="O81" i="5"/>
  <c r="Y80" i="5"/>
  <c r="T80" i="5"/>
  <c r="AD79" i="5"/>
  <c r="Y79" i="5"/>
  <c r="T79" i="5"/>
  <c r="AA78" i="5"/>
  <c r="AA79" i="5" s="1"/>
  <c r="AA80" i="5" s="1"/>
  <c r="AA81" i="5" s="1"/>
  <c r="AA82" i="5" s="1"/>
  <c r="AA83" i="5" s="1"/>
  <c r="Y78" i="5"/>
  <c r="T78" i="5"/>
  <c r="O78" i="5"/>
  <c r="AD77" i="5"/>
  <c r="Y77" i="5"/>
  <c r="T77" i="5"/>
  <c r="O77" i="5"/>
  <c r="Y76" i="5"/>
  <c r="V76" i="5"/>
  <c r="V77" i="5" s="1"/>
  <c r="V78" i="5" s="1"/>
  <c r="V79" i="5" s="1"/>
  <c r="V80" i="5" s="1"/>
  <c r="V81" i="5" s="1"/>
  <c r="V82" i="5" s="1"/>
  <c r="V83" i="5" s="1"/>
  <c r="T76" i="5"/>
  <c r="AD75" i="5"/>
  <c r="Y75" i="5"/>
  <c r="T75" i="5"/>
  <c r="O75" i="5"/>
  <c r="AG74" i="5"/>
  <c r="AF74" i="5"/>
  <c r="AA74" i="5"/>
  <c r="AA75" i="5" s="1"/>
  <c r="AA76" i="5" s="1"/>
  <c r="AA77" i="5" s="1"/>
  <c r="Y74" i="5"/>
  <c r="T74" i="5"/>
  <c r="Q74" i="5"/>
  <c r="Q75" i="5" s="1"/>
  <c r="Q76" i="5" s="1"/>
  <c r="Q77" i="5" s="1"/>
  <c r="Q78" i="5" s="1"/>
  <c r="Q79" i="5" s="1"/>
  <c r="Q80" i="5" s="1"/>
  <c r="Q81" i="5" s="1"/>
  <c r="Q82" i="5" s="1"/>
  <c r="Q83" i="5" s="1"/>
  <c r="O74" i="5"/>
  <c r="AI72" i="5"/>
  <c r="AG72" i="5"/>
  <c r="AF72" i="5"/>
  <c r="AD72" i="5"/>
  <c r="AA72" i="5"/>
  <c r="AB72" i="5" s="1"/>
  <c r="Y72" i="5"/>
  <c r="W72" i="5"/>
  <c r="V72" i="5"/>
  <c r="T72" i="5"/>
  <c r="Q72" i="5"/>
  <c r="R72" i="5" s="1"/>
  <c r="O72" i="5"/>
  <c r="M72" i="5"/>
  <c r="L72" i="5"/>
  <c r="AI70" i="5"/>
  <c r="AI67" i="5" s="1"/>
  <c r="AF70" i="5"/>
  <c r="AD70" i="5"/>
  <c r="AA70" i="5"/>
  <c r="Y70" i="5"/>
  <c r="Y65" i="5" s="1"/>
  <c r="V70" i="5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T70" i="5"/>
  <c r="T63" i="5" s="1"/>
  <c r="Q70" i="5"/>
  <c r="O70" i="5"/>
  <c r="L70" i="5"/>
  <c r="L60" i="5" s="1"/>
  <c r="L61" i="5" s="1"/>
  <c r="AI69" i="5"/>
  <c r="AD69" i="5"/>
  <c r="Y69" i="5"/>
  <c r="T69" i="5"/>
  <c r="O69" i="5"/>
  <c r="AI68" i="5"/>
  <c r="AD68" i="5"/>
  <c r="O68" i="5"/>
  <c r="AD67" i="5"/>
  <c r="Y67" i="5"/>
  <c r="T67" i="5"/>
  <c r="O67" i="5"/>
  <c r="AI66" i="5"/>
  <c r="AD66" i="5"/>
  <c r="O66" i="5"/>
  <c r="AI65" i="5"/>
  <c r="AD65" i="5"/>
  <c r="T65" i="5"/>
  <c r="O65" i="5"/>
  <c r="AI64" i="5"/>
  <c r="AD64" i="5"/>
  <c r="Y64" i="5"/>
  <c r="O64" i="5"/>
  <c r="AI63" i="5"/>
  <c r="AD63" i="5"/>
  <c r="Y63" i="5"/>
  <c r="O63" i="5"/>
  <c r="AI62" i="5"/>
  <c r="AD62" i="5"/>
  <c r="T62" i="5"/>
  <c r="O62" i="5"/>
  <c r="L62" i="5"/>
  <c r="L63" i="5" s="1"/>
  <c r="L64" i="5" s="1"/>
  <c r="L65" i="5" s="1"/>
  <c r="L66" i="5" s="1"/>
  <c r="L67" i="5" s="1"/>
  <c r="L68" i="5" s="1"/>
  <c r="L69" i="5" s="1"/>
  <c r="AI61" i="5"/>
  <c r="AD61" i="5"/>
  <c r="Y61" i="5"/>
  <c r="T61" i="5"/>
  <c r="O61" i="5"/>
  <c r="AI60" i="5"/>
  <c r="AF60" i="5"/>
  <c r="AD60" i="5"/>
  <c r="AA60" i="5"/>
  <c r="AA61" i="5" s="1"/>
  <c r="AA62" i="5" s="1"/>
  <c r="AA63" i="5" s="1"/>
  <c r="AA64" i="5" s="1"/>
  <c r="AA65" i="5" s="1"/>
  <c r="AA66" i="5" s="1"/>
  <c r="AA67" i="5" s="1"/>
  <c r="AA68" i="5" s="1"/>
  <c r="AA69" i="5" s="1"/>
  <c r="Y60" i="5"/>
  <c r="Q60" i="5"/>
  <c r="Q61" i="5" s="1"/>
  <c r="Q62" i="5" s="1"/>
  <c r="Q63" i="5" s="1"/>
  <c r="Q64" i="5" s="1"/>
  <c r="Q65" i="5" s="1"/>
  <c r="Q66" i="5" s="1"/>
  <c r="Q67" i="5" s="1"/>
  <c r="Q68" i="5" s="1"/>
  <c r="Q69" i="5" s="1"/>
  <c r="O60" i="5"/>
  <c r="AI58" i="5"/>
  <c r="AG58" i="5"/>
  <c r="AF58" i="5"/>
  <c r="AD58" i="5"/>
  <c r="AA58" i="5"/>
  <c r="AB58" i="5" s="1"/>
  <c r="Y58" i="5"/>
  <c r="W58" i="5"/>
  <c r="V58" i="5"/>
  <c r="T58" i="5"/>
  <c r="R58" i="5"/>
  <c r="Q58" i="5"/>
  <c r="O58" i="5"/>
  <c r="M58" i="5"/>
  <c r="L58" i="5"/>
  <c r="AI56" i="5"/>
  <c r="AF56" i="5"/>
  <c r="AG56" i="5" s="1"/>
  <c r="AD56" i="5"/>
  <c r="AB56" i="5"/>
  <c r="AA56" i="5"/>
  <c r="Y56" i="5"/>
  <c r="W56" i="5"/>
  <c r="V56" i="5"/>
  <c r="T56" i="5"/>
  <c r="R56" i="5"/>
  <c r="Q56" i="5"/>
  <c r="O56" i="5"/>
  <c r="L56" i="5"/>
  <c r="M56" i="5" s="1"/>
  <c r="AI55" i="5"/>
  <c r="AD55" i="5"/>
  <c r="T55" i="5"/>
  <c r="O55" i="5"/>
  <c r="AI54" i="5"/>
  <c r="T54" i="5"/>
  <c r="O54" i="5"/>
  <c r="AD53" i="5"/>
  <c r="Y53" i="5"/>
  <c r="T53" i="5"/>
  <c r="AI52" i="5"/>
  <c r="AD52" i="5"/>
  <c r="Y52" i="5"/>
  <c r="T52" i="5"/>
  <c r="O52" i="5"/>
  <c r="AI51" i="5"/>
  <c r="AD51" i="5"/>
  <c r="T51" i="5"/>
  <c r="O51" i="5"/>
  <c r="AI50" i="5"/>
  <c r="T50" i="5"/>
  <c r="O50" i="5"/>
  <c r="T49" i="5"/>
  <c r="AI48" i="5"/>
  <c r="AF48" i="5"/>
  <c r="AF49" i="5" s="1"/>
  <c r="T48" i="5"/>
  <c r="O48" i="5"/>
  <c r="L48" i="5"/>
  <c r="L49" i="5" s="1"/>
  <c r="AI47" i="5"/>
  <c r="AF47" i="5"/>
  <c r="AG47" i="5" s="1"/>
  <c r="AD47" i="5"/>
  <c r="Y47" i="5"/>
  <c r="T47" i="5"/>
  <c r="Q47" i="5"/>
  <c r="Q48" i="5" s="1"/>
  <c r="O47" i="5"/>
  <c r="L47" i="5"/>
  <c r="M47" i="5" s="1"/>
  <c r="AI46" i="5"/>
  <c r="AG46" i="5"/>
  <c r="AF46" i="5"/>
  <c r="AD46" i="5"/>
  <c r="AA46" i="5"/>
  <c r="AA47" i="5" s="1"/>
  <c r="Y46" i="5"/>
  <c r="W46" i="5"/>
  <c r="V46" i="5"/>
  <c r="V47" i="5" s="1"/>
  <c r="T46" i="5"/>
  <c r="Q46" i="5"/>
  <c r="R46" i="5" s="1"/>
  <c r="O46" i="5"/>
  <c r="M46" i="5"/>
  <c r="L46" i="5"/>
  <c r="AI44" i="5"/>
  <c r="AF44" i="5"/>
  <c r="AG44" i="5" s="1"/>
  <c r="AD44" i="5"/>
  <c r="AB44" i="5"/>
  <c r="AA44" i="5"/>
  <c r="Y44" i="5"/>
  <c r="V44" i="5"/>
  <c r="W44" i="5" s="1"/>
  <c r="T44" i="5"/>
  <c r="R44" i="5"/>
  <c r="Q44" i="5"/>
  <c r="O44" i="5"/>
  <c r="L44" i="5"/>
  <c r="M44" i="5" s="1"/>
  <c r="AI42" i="5"/>
  <c r="AF42" i="5"/>
  <c r="AF33" i="5" s="1"/>
  <c r="AG33" i="5" s="1"/>
  <c r="AD42" i="5"/>
  <c r="AA42" i="5"/>
  <c r="AB42" i="5" s="1"/>
  <c r="Y42" i="5"/>
  <c r="Y39" i="5" s="1"/>
  <c r="W42" i="5"/>
  <c r="V42" i="5"/>
  <c r="T42" i="5"/>
  <c r="T40" i="5" s="1"/>
  <c r="Q42" i="5"/>
  <c r="Q32" i="5" s="1"/>
  <c r="R32" i="5" s="1"/>
  <c r="O42" i="5"/>
  <c r="M42" i="5"/>
  <c r="L42" i="5"/>
  <c r="L32" i="5" s="1"/>
  <c r="AD41" i="5"/>
  <c r="Y41" i="5"/>
  <c r="T41" i="5"/>
  <c r="AD40" i="5"/>
  <c r="Y40" i="5"/>
  <c r="AD39" i="5"/>
  <c r="AI38" i="5"/>
  <c r="AD38" i="5"/>
  <c r="Y38" i="5"/>
  <c r="T38" i="5"/>
  <c r="AD37" i="5"/>
  <c r="Y37" i="5"/>
  <c r="T37" i="5"/>
  <c r="AD36" i="5"/>
  <c r="Y36" i="5"/>
  <c r="AD35" i="5"/>
  <c r="AI34" i="5"/>
  <c r="AD34" i="5"/>
  <c r="Y34" i="5"/>
  <c r="T34" i="5"/>
  <c r="AD33" i="5"/>
  <c r="Y33" i="5"/>
  <c r="T33" i="5"/>
  <c r="Q33" i="5"/>
  <c r="Q34" i="5" s="1"/>
  <c r="AF32" i="5"/>
  <c r="AG32" i="5" s="1"/>
  <c r="AD32" i="5"/>
  <c r="AA32" i="5"/>
  <c r="AA33" i="5" s="1"/>
  <c r="Y32" i="5"/>
  <c r="V32" i="5"/>
  <c r="V33" i="5" s="1"/>
  <c r="AI30" i="5"/>
  <c r="AF30" i="5"/>
  <c r="AG30" i="5" s="1"/>
  <c r="AD30" i="5"/>
  <c r="AA30" i="5"/>
  <c r="AB30" i="5" s="1"/>
  <c r="Y30" i="5"/>
  <c r="V30" i="5"/>
  <c r="W30" i="5" s="1"/>
  <c r="T30" i="5"/>
  <c r="Q30" i="5"/>
  <c r="R30" i="5" s="1"/>
  <c r="O30" i="5"/>
  <c r="L30" i="5"/>
  <c r="M30" i="5" s="1"/>
  <c r="AI28" i="5"/>
  <c r="AI25" i="5" s="1"/>
  <c r="AF28" i="5"/>
  <c r="AF19" i="5" s="1"/>
  <c r="AD28" i="5"/>
  <c r="AA28" i="5"/>
  <c r="Y28" i="5"/>
  <c r="Y21" i="5" s="1"/>
  <c r="V28" i="5"/>
  <c r="T28" i="5"/>
  <c r="T22" i="5" s="1"/>
  <c r="Q28" i="5"/>
  <c r="O28" i="5"/>
  <c r="O22" i="5" s="1"/>
  <c r="L28" i="5"/>
  <c r="L18" i="5" s="1"/>
  <c r="AD27" i="5"/>
  <c r="Y27" i="5"/>
  <c r="T27" i="5"/>
  <c r="O27" i="5"/>
  <c r="AI26" i="5"/>
  <c r="AD26" i="5"/>
  <c r="Y26" i="5"/>
  <c r="T26" i="5"/>
  <c r="O26" i="5"/>
  <c r="AD25" i="5"/>
  <c r="Y25" i="5"/>
  <c r="T25" i="5"/>
  <c r="O25" i="5"/>
  <c r="AD24" i="5"/>
  <c r="Y24" i="5"/>
  <c r="T24" i="5"/>
  <c r="O24" i="5"/>
  <c r="AI23" i="5"/>
  <c r="AD23" i="5"/>
  <c r="Y23" i="5"/>
  <c r="T23" i="5"/>
  <c r="O23" i="5"/>
  <c r="I23" i="5"/>
  <c r="H23" i="5"/>
  <c r="F23" i="5"/>
  <c r="E23" i="5"/>
  <c r="D23" i="5"/>
  <c r="C23" i="5"/>
  <c r="AD22" i="5"/>
  <c r="AA22" i="5"/>
  <c r="AA23" i="5" s="1"/>
  <c r="AA24" i="5" s="1"/>
  <c r="AA25" i="5" s="1"/>
  <c r="AA26" i="5" s="1"/>
  <c r="AA27" i="5" s="1"/>
  <c r="Y22" i="5"/>
  <c r="G22" i="5"/>
  <c r="J22" i="5" s="1"/>
  <c r="B22" i="5"/>
  <c r="AD21" i="5"/>
  <c r="G21" i="5"/>
  <c r="J21" i="5" s="1"/>
  <c r="B21" i="5"/>
  <c r="AI20" i="5"/>
  <c r="AD20" i="5"/>
  <c r="Y20" i="5"/>
  <c r="T20" i="5"/>
  <c r="J20" i="5"/>
  <c r="G20" i="5"/>
  <c r="B20" i="5"/>
  <c r="AD19" i="5"/>
  <c r="Y19" i="5"/>
  <c r="T19" i="5"/>
  <c r="Q19" i="5"/>
  <c r="Q20" i="5" s="1"/>
  <c r="Q21" i="5" s="1"/>
  <c r="Q22" i="5" s="1"/>
  <c r="Q23" i="5" s="1"/>
  <c r="Q24" i="5" s="1"/>
  <c r="Q25" i="5" s="1"/>
  <c r="Q26" i="5" s="1"/>
  <c r="Q27" i="5" s="1"/>
  <c r="O19" i="5"/>
  <c r="J19" i="5"/>
  <c r="G19" i="5"/>
  <c r="B19" i="5"/>
  <c r="AG18" i="5"/>
  <c r="AF18" i="5"/>
  <c r="AD18" i="5"/>
  <c r="AA18" i="5"/>
  <c r="AA19" i="5" s="1"/>
  <c r="AA20" i="5" s="1"/>
  <c r="AA21" i="5" s="1"/>
  <c r="Y18" i="5"/>
  <c r="V18" i="5"/>
  <c r="V19" i="5" s="1"/>
  <c r="V20" i="5" s="1"/>
  <c r="V21" i="5" s="1"/>
  <c r="V22" i="5" s="1"/>
  <c r="V23" i="5" s="1"/>
  <c r="V24" i="5" s="1"/>
  <c r="V25" i="5" s="1"/>
  <c r="V26" i="5" s="1"/>
  <c r="V27" i="5" s="1"/>
  <c r="T18" i="5"/>
  <c r="Q18" i="5"/>
  <c r="G18" i="5"/>
  <c r="J18" i="5" s="1"/>
  <c r="B18" i="5"/>
  <c r="G17" i="5"/>
  <c r="B17" i="5"/>
  <c r="AI16" i="5"/>
  <c r="AF16" i="5"/>
  <c r="AG16" i="5" s="1"/>
  <c r="AD16" i="5"/>
  <c r="AA16" i="5"/>
  <c r="AB16" i="5" s="1"/>
  <c r="Y16" i="5"/>
  <c r="W16" i="5"/>
  <c r="V16" i="5"/>
  <c r="T16" i="5"/>
  <c r="Q16" i="5"/>
  <c r="R16" i="5" s="1"/>
  <c r="O16" i="5"/>
  <c r="L16" i="5"/>
  <c r="M16" i="5" s="1"/>
  <c r="AI14" i="5"/>
  <c r="AI13" i="5" s="1"/>
  <c r="AF14" i="5"/>
  <c r="AG14" i="5" s="1"/>
  <c r="AD14" i="5"/>
  <c r="AB14" i="5"/>
  <c r="AA14" i="5"/>
  <c r="Y14" i="5"/>
  <c r="Y7" i="5" s="1"/>
  <c r="V14" i="5"/>
  <c r="V4" i="5" s="1"/>
  <c r="W4" i="5" s="1"/>
  <c r="T14" i="5"/>
  <c r="Q14" i="5"/>
  <c r="R14" i="5" s="1"/>
  <c r="O14" i="5"/>
  <c r="O13" i="5" s="1"/>
  <c r="L14" i="5"/>
  <c r="M14" i="5" s="1"/>
  <c r="AD13" i="5"/>
  <c r="Y13" i="5"/>
  <c r="AI12" i="5"/>
  <c r="AD12" i="5"/>
  <c r="O12" i="5"/>
  <c r="AI11" i="5"/>
  <c r="AD11" i="5"/>
  <c r="O11" i="5"/>
  <c r="AI10" i="5"/>
  <c r="AD10" i="5"/>
  <c r="Y10" i="5"/>
  <c r="T10" i="5"/>
  <c r="O10" i="5"/>
  <c r="AD9" i="5"/>
  <c r="Y9" i="5"/>
  <c r="G9" i="5"/>
  <c r="F9" i="5"/>
  <c r="E9" i="5"/>
  <c r="D9" i="5"/>
  <c r="C9" i="5"/>
  <c r="AL8" i="5"/>
  <c r="AI8" i="5"/>
  <c r="AD8" i="5"/>
  <c r="Y8" i="5"/>
  <c r="O8" i="5"/>
  <c r="AL7" i="5"/>
  <c r="AI7" i="5"/>
  <c r="AD7" i="5"/>
  <c r="O7" i="5"/>
  <c r="AL6" i="5"/>
  <c r="AI6" i="5"/>
  <c r="AD6" i="5"/>
  <c r="O6" i="5"/>
  <c r="AL5" i="5"/>
  <c r="AI5" i="5"/>
  <c r="AD5" i="5"/>
  <c r="Y5" i="5"/>
  <c r="O5" i="5"/>
  <c r="AL4" i="5"/>
  <c r="AI4" i="5"/>
  <c r="AF4" i="5"/>
  <c r="AF5" i="5" s="1"/>
  <c r="AD4" i="5"/>
  <c r="AA4" i="5"/>
  <c r="AA5" i="5" s="1"/>
  <c r="Q4" i="5"/>
  <c r="Q5" i="5" s="1"/>
  <c r="R5" i="5" s="1"/>
  <c r="O4" i="5"/>
  <c r="L4" i="5"/>
  <c r="L5" i="5" s="1"/>
  <c r="AL3" i="5"/>
  <c r="AI2" i="5"/>
  <c r="AG2" i="5"/>
  <c r="AF2" i="5"/>
  <c r="AD2" i="5"/>
  <c r="AB2" i="5"/>
  <c r="AA2" i="5"/>
  <c r="Y2" i="5"/>
  <c r="V2" i="5"/>
  <c r="W2" i="5" s="1"/>
  <c r="T2" i="5"/>
  <c r="Q2" i="5"/>
  <c r="R2" i="5" s="1"/>
  <c r="O2" i="5"/>
  <c r="M2" i="5"/>
  <c r="L2" i="5"/>
  <c r="AI84" i="4"/>
  <c r="AI83" i="4" s="1"/>
  <c r="AF84" i="4"/>
  <c r="AD84" i="4"/>
  <c r="AA84" i="4"/>
  <c r="Y84" i="4"/>
  <c r="Y78" i="4" s="1"/>
  <c r="V84" i="4"/>
  <c r="T84" i="4"/>
  <c r="T76" i="4" s="1"/>
  <c r="Q84" i="4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O84" i="4"/>
  <c r="L84" i="4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AD83" i="4"/>
  <c r="AI82" i="4"/>
  <c r="AD82" i="4"/>
  <c r="T82" i="4"/>
  <c r="AI81" i="4"/>
  <c r="AD81" i="4"/>
  <c r="AI80" i="4"/>
  <c r="AD80" i="4"/>
  <c r="AI79" i="4"/>
  <c r="AD79" i="4"/>
  <c r="AI78" i="4"/>
  <c r="AD78" i="4"/>
  <c r="AI77" i="4"/>
  <c r="AD77" i="4"/>
  <c r="Y77" i="4"/>
  <c r="AI76" i="4"/>
  <c r="AD76" i="4"/>
  <c r="AA76" i="4"/>
  <c r="AA77" i="4" s="1"/>
  <c r="AA78" i="4" s="1"/>
  <c r="AA79" i="4" s="1"/>
  <c r="AA80" i="4" s="1"/>
  <c r="AA81" i="4" s="1"/>
  <c r="AA82" i="4" s="1"/>
  <c r="AA83" i="4" s="1"/>
  <c r="Y76" i="4"/>
  <c r="V76" i="4"/>
  <c r="V77" i="4" s="1"/>
  <c r="V78" i="4" s="1"/>
  <c r="V79" i="4" s="1"/>
  <c r="V80" i="4" s="1"/>
  <c r="V81" i="4" s="1"/>
  <c r="V82" i="4" s="1"/>
  <c r="V83" i="4" s="1"/>
  <c r="AI75" i="4"/>
  <c r="AF75" i="4"/>
  <c r="AD75" i="4"/>
  <c r="AA75" i="4"/>
  <c r="Y75" i="4"/>
  <c r="V75" i="4"/>
  <c r="T75" i="4"/>
  <c r="AI74" i="4"/>
  <c r="AG74" i="4"/>
  <c r="AF74" i="4"/>
  <c r="AG84" i="4" s="1"/>
  <c r="AD74" i="4"/>
  <c r="AA74" i="4"/>
  <c r="V74" i="4"/>
  <c r="T74" i="4"/>
  <c r="AI72" i="4"/>
  <c r="AF72" i="4"/>
  <c r="AG72" i="4" s="1"/>
  <c r="AD72" i="4"/>
  <c r="AB72" i="4"/>
  <c r="AA72" i="4"/>
  <c r="Y72" i="4"/>
  <c r="V72" i="4"/>
  <c r="W72" i="4" s="1"/>
  <c r="T72" i="4"/>
  <c r="Q72" i="4"/>
  <c r="R72" i="4" s="1"/>
  <c r="O72" i="4"/>
  <c r="L72" i="4"/>
  <c r="M72" i="4" s="1"/>
  <c r="AI70" i="4"/>
  <c r="AF70" i="4"/>
  <c r="AD70" i="4"/>
  <c r="AD62" i="4" s="1"/>
  <c r="AA70" i="4"/>
  <c r="AF60" i="4" s="1"/>
  <c r="Y70" i="4"/>
  <c r="V70" i="4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T70" i="4"/>
  <c r="Q70" i="4"/>
  <c r="O70" i="4"/>
  <c r="O68" i="4" s="1"/>
  <c r="L70" i="4"/>
  <c r="AI69" i="4"/>
  <c r="T69" i="4"/>
  <c r="AI68" i="4"/>
  <c r="AD68" i="4"/>
  <c r="T68" i="4"/>
  <c r="Q68" i="4"/>
  <c r="Q69" i="4" s="1"/>
  <c r="AI67" i="4"/>
  <c r="T67" i="4"/>
  <c r="O67" i="4"/>
  <c r="AI66" i="4"/>
  <c r="T66" i="4"/>
  <c r="O66" i="4"/>
  <c r="L66" i="4"/>
  <c r="L67" i="4" s="1"/>
  <c r="L68" i="4" s="1"/>
  <c r="L69" i="4" s="1"/>
  <c r="AI65" i="4"/>
  <c r="T65" i="4"/>
  <c r="O65" i="4"/>
  <c r="AI64" i="4"/>
  <c r="T64" i="4"/>
  <c r="O64" i="4"/>
  <c r="AI63" i="4"/>
  <c r="T63" i="4"/>
  <c r="Q63" i="4"/>
  <c r="Q64" i="4" s="1"/>
  <c r="Q65" i="4" s="1"/>
  <c r="Q66" i="4" s="1"/>
  <c r="Q67" i="4" s="1"/>
  <c r="O63" i="4"/>
  <c r="AI62" i="4"/>
  <c r="T62" i="4"/>
  <c r="O62" i="4"/>
  <c r="AI61" i="4"/>
  <c r="AD61" i="4"/>
  <c r="T61" i="4"/>
  <c r="O61" i="4"/>
  <c r="L61" i="4"/>
  <c r="L62" i="4" s="1"/>
  <c r="L63" i="4" s="1"/>
  <c r="L64" i="4" s="1"/>
  <c r="L65" i="4" s="1"/>
  <c r="AI60" i="4"/>
  <c r="AD60" i="4"/>
  <c r="T60" i="4"/>
  <c r="Q60" i="4"/>
  <c r="Q61" i="4" s="1"/>
  <c r="Q62" i="4" s="1"/>
  <c r="O60" i="4"/>
  <c r="L60" i="4"/>
  <c r="AI58" i="4"/>
  <c r="AF58" i="4"/>
  <c r="AG58" i="4" s="1"/>
  <c r="AD58" i="4"/>
  <c r="AA58" i="4"/>
  <c r="AB58" i="4" s="1"/>
  <c r="Y58" i="4"/>
  <c r="V58" i="4"/>
  <c r="W58" i="4" s="1"/>
  <c r="T58" i="4"/>
  <c r="Q58" i="4"/>
  <c r="R58" i="4" s="1"/>
  <c r="O58" i="4"/>
  <c r="L58" i="4"/>
  <c r="M58" i="4" s="1"/>
  <c r="AI56" i="4"/>
  <c r="AG56" i="4"/>
  <c r="AF56" i="4"/>
  <c r="AD56" i="4"/>
  <c r="AA56" i="4"/>
  <c r="AB56" i="4" s="1"/>
  <c r="Y56" i="4"/>
  <c r="V56" i="4"/>
  <c r="W56" i="4" s="1"/>
  <c r="T56" i="4"/>
  <c r="T51" i="4" s="1"/>
  <c r="Q56" i="4"/>
  <c r="R56" i="4" s="1"/>
  <c r="O56" i="4"/>
  <c r="L56" i="4"/>
  <c r="L46" i="4" s="1"/>
  <c r="AD55" i="4"/>
  <c r="Y55" i="4"/>
  <c r="AD54" i="4"/>
  <c r="Y54" i="4"/>
  <c r="AD53" i="4"/>
  <c r="Y53" i="4"/>
  <c r="AD52" i="4"/>
  <c r="Y52" i="4"/>
  <c r="T52" i="4"/>
  <c r="AD51" i="4"/>
  <c r="Y51" i="4"/>
  <c r="AD50" i="4"/>
  <c r="Y50" i="4"/>
  <c r="AD49" i="4"/>
  <c r="Y49" i="4"/>
  <c r="O49" i="4"/>
  <c r="AI48" i="4"/>
  <c r="AD48" i="4"/>
  <c r="Y48" i="4"/>
  <c r="AD47" i="4"/>
  <c r="Y47" i="4"/>
  <c r="AF46" i="4"/>
  <c r="AF47" i="4" s="1"/>
  <c r="AG47" i="4" s="1"/>
  <c r="AD46" i="4"/>
  <c r="AA46" i="4"/>
  <c r="Y46" i="4"/>
  <c r="V46" i="4"/>
  <c r="V47" i="4" s="1"/>
  <c r="Q46" i="4"/>
  <c r="R46" i="4" s="1"/>
  <c r="AI44" i="4"/>
  <c r="AF44" i="4"/>
  <c r="AG44" i="4" s="1"/>
  <c r="AD44" i="4"/>
  <c r="AA44" i="4"/>
  <c r="AB44" i="4" s="1"/>
  <c r="Y44" i="4"/>
  <c r="V44" i="4"/>
  <c r="W44" i="4" s="1"/>
  <c r="T44" i="4"/>
  <c r="Q44" i="4"/>
  <c r="R44" i="4" s="1"/>
  <c r="O44" i="4"/>
  <c r="L44" i="4"/>
  <c r="M44" i="4" s="1"/>
  <c r="AI42" i="4"/>
  <c r="AI41" i="4" s="1"/>
  <c r="AF42" i="4"/>
  <c r="AG42" i="4" s="1"/>
  <c r="AD42" i="4"/>
  <c r="AA42" i="4"/>
  <c r="AB42" i="4" s="1"/>
  <c r="Y42" i="4"/>
  <c r="Y39" i="4" s="1"/>
  <c r="V42" i="4"/>
  <c r="W42" i="4" s="1"/>
  <c r="T42" i="4"/>
  <c r="T40" i="4" s="1"/>
  <c r="Q42" i="4"/>
  <c r="Q32" i="4" s="1"/>
  <c r="R32" i="4" s="1"/>
  <c r="O42" i="4"/>
  <c r="O41" i="4" s="1"/>
  <c r="L42" i="4"/>
  <c r="L32" i="4" s="1"/>
  <c r="AD41" i="4"/>
  <c r="T41" i="4"/>
  <c r="AD40" i="4"/>
  <c r="Y40" i="4"/>
  <c r="AD39" i="4"/>
  <c r="T39" i="4"/>
  <c r="AI38" i="4"/>
  <c r="AD38" i="4"/>
  <c r="Y38" i="4"/>
  <c r="T38" i="4"/>
  <c r="O38" i="4"/>
  <c r="AD37" i="4"/>
  <c r="Y37" i="4"/>
  <c r="T37" i="4"/>
  <c r="AD36" i="4"/>
  <c r="Y36" i="4"/>
  <c r="AD35" i="4"/>
  <c r="T35" i="4"/>
  <c r="AI34" i="4"/>
  <c r="AD34" i="4"/>
  <c r="Y34" i="4"/>
  <c r="T34" i="4"/>
  <c r="O34" i="4"/>
  <c r="AD33" i="4"/>
  <c r="Y33" i="4"/>
  <c r="T33" i="4"/>
  <c r="Q33" i="4"/>
  <c r="Q34" i="4" s="1"/>
  <c r="AF32" i="4"/>
  <c r="AD32" i="4"/>
  <c r="AA32" i="4"/>
  <c r="AA33" i="4" s="1"/>
  <c r="Y32" i="4"/>
  <c r="V32" i="4"/>
  <c r="V33" i="4" s="1"/>
  <c r="AI30" i="4"/>
  <c r="AF30" i="4"/>
  <c r="AG30" i="4" s="1"/>
  <c r="AD30" i="4"/>
  <c r="AA30" i="4"/>
  <c r="AB30" i="4" s="1"/>
  <c r="Y30" i="4"/>
  <c r="V30" i="4"/>
  <c r="W30" i="4" s="1"/>
  <c r="T30" i="4"/>
  <c r="Q30" i="4"/>
  <c r="R30" i="4" s="1"/>
  <c r="O30" i="4"/>
  <c r="L30" i="4"/>
  <c r="M30" i="4" s="1"/>
  <c r="AI28" i="4"/>
  <c r="AI19" i="4" s="1"/>
  <c r="AG28" i="4"/>
  <c r="AF28" i="4"/>
  <c r="AD28" i="4"/>
  <c r="AA28" i="4"/>
  <c r="Y28" i="4"/>
  <c r="V28" i="4"/>
  <c r="T28" i="4"/>
  <c r="Q28" i="4"/>
  <c r="Q18" i="4" s="1"/>
  <c r="O28" i="4"/>
  <c r="L28" i="4"/>
  <c r="L18" i="4" s="1"/>
  <c r="AI27" i="4"/>
  <c r="AD27" i="4"/>
  <c r="Y27" i="4"/>
  <c r="T27" i="4"/>
  <c r="O27" i="4"/>
  <c r="AI26" i="4"/>
  <c r="AD26" i="4"/>
  <c r="Y26" i="4"/>
  <c r="T26" i="4"/>
  <c r="O26" i="4"/>
  <c r="AI25" i="4"/>
  <c r="AD25" i="4"/>
  <c r="Y25" i="4"/>
  <c r="T25" i="4"/>
  <c r="O25" i="4"/>
  <c r="AI24" i="4"/>
  <c r="AD24" i="4"/>
  <c r="Y24" i="4"/>
  <c r="T24" i="4"/>
  <c r="O24" i="4"/>
  <c r="AI23" i="4"/>
  <c r="AD23" i="4"/>
  <c r="Y23" i="4"/>
  <c r="T23" i="4"/>
  <c r="O23" i="4"/>
  <c r="I23" i="4"/>
  <c r="H23" i="4"/>
  <c r="F23" i="4"/>
  <c r="E23" i="4"/>
  <c r="D23" i="4"/>
  <c r="C23" i="4"/>
  <c r="AD22" i="4"/>
  <c r="AA22" i="4"/>
  <c r="AA23" i="4" s="1"/>
  <c r="AA24" i="4" s="1"/>
  <c r="AA25" i="4" s="1"/>
  <c r="AA26" i="4" s="1"/>
  <c r="AA27" i="4" s="1"/>
  <c r="Y22" i="4"/>
  <c r="V22" i="4"/>
  <c r="V23" i="4" s="1"/>
  <c r="V24" i="4" s="1"/>
  <c r="V25" i="4" s="1"/>
  <c r="V26" i="4" s="1"/>
  <c r="V27" i="4" s="1"/>
  <c r="T22" i="4"/>
  <c r="O22" i="4"/>
  <c r="J22" i="4"/>
  <c r="G22" i="4"/>
  <c r="B22" i="4"/>
  <c r="AD21" i="4"/>
  <c r="Y21" i="4"/>
  <c r="T21" i="4"/>
  <c r="O21" i="4"/>
  <c r="G21" i="4"/>
  <c r="J21" i="4" s="1"/>
  <c r="B21" i="4"/>
  <c r="AI20" i="4"/>
  <c r="AD20" i="4"/>
  <c r="Y20" i="4"/>
  <c r="T20" i="4"/>
  <c r="O20" i="4"/>
  <c r="J20" i="4"/>
  <c r="G20" i="4"/>
  <c r="B20" i="4"/>
  <c r="AD19" i="4"/>
  <c r="Y19" i="4"/>
  <c r="T19" i="4"/>
  <c r="Q19" i="4"/>
  <c r="Q20" i="4" s="1"/>
  <c r="Q21" i="4" s="1"/>
  <c r="Q22" i="4" s="1"/>
  <c r="Q23" i="4" s="1"/>
  <c r="Q24" i="4" s="1"/>
  <c r="Q25" i="4" s="1"/>
  <c r="Q26" i="4" s="1"/>
  <c r="Q27" i="4" s="1"/>
  <c r="O19" i="4"/>
  <c r="G19" i="4"/>
  <c r="J19" i="4" s="1"/>
  <c r="B19" i="4"/>
  <c r="AF18" i="4"/>
  <c r="AF19" i="4" s="1"/>
  <c r="AD18" i="4"/>
  <c r="AA18" i="4"/>
  <c r="AA19" i="4" s="1"/>
  <c r="AA20" i="4" s="1"/>
  <c r="AA21" i="4" s="1"/>
  <c r="Y18" i="4"/>
  <c r="V18" i="4"/>
  <c r="V19" i="4" s="1"/>
  <c r="V20" i="4" s="1"/>
  <c r="V21" i="4" s="1"/>
  <c r="T18" i="4"/>
  <c r="O18" i="4"/>
  <c r="J18" i="4"/>
  <c r="G18" i="4"/>
  <c r="B18" i="4"/>
  <c r="G17" i="4"/>
  <c r="B17" i="4"/>
  <c r="AI16" i="4"/>
  <c r="AF16" i="4"/>
  <c r="AG16" i="4" s="1"/>
  <c r="AD16" i="4"/>
  <c r="AB16" i="4"/>
  <c r="AA16" i="4"/>
  <c r="Y16" i="4"/>
  <c r="V16" i="4"/>
  <c r="W16" i="4" s="1"/>
  <c r="T16" i="4"/>
  <c r="R16" i="4"/>
  <c r="Q16" i="4"/>
  <c r="O16" i="4"/>
  <c r="L16" i="4"/>
  <c r="M16" i="4" s="1"/>
  <c r="AI14" i="4"/>
  <c r="AF14" i="4"/>
  <c r="AD14" i="4"/>
  <c r="AD6" i="4" s="1"/>
  <c r="AA14" i="4"/>
  <c r="AB14" i="4" s="1"/>
  <c r="Y14" i="4"/>
  <c r="Y7" i="4" s="1"/>
  <c r="V14" i="4"/>
  <c r="V4" i="4" s="1"/>
  <c r="W4" i="4" s="1"/>
  <c r="T14" i="4"/>
  <c r="Q14" i="4"/>
  <c r="R14" i="4" s="1"/>
  <c r="O14" i="4"/>
  <c r="M14" i="4"/>
  <c r="L14" i="4"/>
  <c r="AI13" i="4"/>
  <c r="AD13" i="4"/>
  <c r="Y13" i="4"/>
  <c r="O13" i="4"/>
  <c r="AI12" i="4"/>
  <c r="AD12" i="4"/>
  <c r="O12" i="4"/>
  <c r="AI11" i="4"/>
  <c r="O11" i="4"/>
  <c r="AI10" i="4"/>
  <c r="AD10" i="4"/>
  <c r="Y10" i="4"/>
  <c r="T10" i="4"/>
  <c r="O10" i="4"/>
  <c r="AI9" i="4"/>
  <c r="AD9" i="4"/>
  <c r="Y9" i="4"/>
  <c r="O9" i="4"/>
  <c r="G9" i="4"/>
  <c r="F9" i="4"/>
  <c r="E9" i="4"/>
  <c r="D9" i="4"/>
  <c r="C9" i="4"/>
  <c r="AL8" i="4"/>
  <c r="AI8" i="4"/>
  <c r="AD8" i="4"/>
  <c r="Y8" i="4"/>
  <c r="T8" i="4"/>
  <c r="O8" i="4"/>
  <c r="AL7" i="4"/>
  <c r="AI7" i="4"/>
  <c r="AD7" i="4"/>
  <c r="O7" i="4"/>
  <c r="AL6" i="4"/>
  <c r="AI6" i="4"/>
  <c r="O6" i="4"/>
  <c r="AL5" i="4"/>
  <c r="AI5" i="4"/>
  <c r="AD5" i="4"/>
  <c r="Y5" i="4"/>
  <c r="V5" i="4"/>
  <c r="V6" i="4" s="1"/>
  <c r="T5" i="4"/>
  <c r="O5" i="4"/>
  <c r="AL4" i="4"/>
  <c r="AI4" i="4"/>
  <c r="AF4" i="4"/>
  <c r="AG14" i="4" s="1"/>
  <c r="AD4" i="4"/>
  <c r="AA4" i="4"/>
  <c r="AA5" i="4" s="1"/>
  <c r="Q4" i="4"/>
  <c r="Q5" i="4" s="1"/>
  <c r="R5" i="4" s="1"/>
  <c r="O4" i="4"/>
  <c r="L4" i="4"/>
  <c r="L5" i="4" s="1"/>
  <c r="AL3" i="4"/>
  <c r="AI2" i="4"/>
  <c r="AG2" i="4"/>
  <c r="AF2" i="4"/>
  <c r="AD2" i="4"/>
  <c r="AB2" i="4"/>
  <c r="AA2" i="4"/>
  <c r="Y2" i="4"/>
  <c r="W2" i="4"/>
  <c r="V2" i="4"/>
  <c r="T2" i="4"/>
  <c r="Q2" i="4"/>
  <c r="R2" i="4" s="1"/>
  <c r="O2" i="4"/>
  <c r="M2" i="4"/>
  <c r="L2" i="4"/>
  <c r="Q20" i="3"/>
  <c r="P20" i="3"/>
  <c r="P19" i="3"/>
  <c r="P18" i="3"/>
  <c r="P16" i="3"/>
  <c r="P14" i="3"/>
  <c r="P13" i="3"/>
  <c r="P12" i="3"/>
  <c r="P11" i="3"/>
  <c r="P10" i="3"/>
  <c r="P8" i="3"/>
  <c r="P7" i="3"/>
  <c r="P6" i="3"/>
  <c r="P5" i="3"/>
  <c r="J75" i="2"/>
  <c r="I75" i="2"/>
  <c r="H75" i="2"/>
  <c r="K75" i="2" s="1"/>
  <c r="G75" i="2"/>
  <c r="F75" i="2"/>
  <c r="E75" i="2"/>
  <c r="D75" i="2"/>
  <c r="C75" i="2"/>
  <c r="L74" i="2"/>
  <c r="K74" i="2"/>
  <c r="L73" i="2"/>
  <c r="K73" i="2"/>
  <c r="L72" i="2"/>
  <c r="K72" i="2"/>
  <c r="L71" i="2"/>
  <c r="K71" i="2"/>
  <c r="O70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K56" i="2"/>
  <c r="J56" i="2"/>
  <c r="I56" i="2"/>
  <c r="H56" i="2"/>
  <c r="G56" i="2"/>
  <c r="D56" i="2"/>
  <c r="F56" i="2" s="1"/>
  <c r="L56" i="2" s="1"/>
  <c r="C56" i="2"/>
  <c r="E56" i="2" s="1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J37" i="2"/>
  <c r="I37" i="2"/>
  <c r="H37" i="2"/>
  <c r="K37" i="2" s="1"/>
  <c r="G37" i="2"/>
  <c r="F37" i="2"/>
  <c r="L37" i="2" s="1"/>
  <c r="E37" i="2"/>
  <c r="D37" i="2"/>
  <c r="C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K13" i="2"/>
  <c r="F13" i="2"/>
  <c r="E13" i="2"/>
  <c r="AI84" i="1"/>
  <c r="AI82" i="1" s="1"/>
  <c r="AD84" i="1"/>
  <c r="AD83" i="1" s="1"/>
  <c r="Y84" i="1"/>
  <c r="Y75" i="1" s="1"/>
  <c r="V74" i="1"/>
  <c r="V75" i="1" s="1"/>
  <c r="V76" i="1" s="1"/>
  <c r="V77" i="1" s="1"/>
  <c r="V78" i="1" s="1"/>
  <c r="V79" i="1" s="1"/>
  <c r="V80" i="1" s="1"/>
  <c r="V81" i="1" s="1"/>
  <c r="V82" i="1" s="1"/>
  <c r="V83" i="1" s="1"/>
  <c r="W83" i="1" s="1"/>
  <c r="T84" i="1"/>
  <c r="T79" i="1" s="1"/>
  <c r="Q74" i="1"/>
  <c r="Q75" i="1" s="1"/>
  <c r="Q76" i="1" s="1"/>
  <c r="Q77" i="1" s="1"/>
  <c r="Q78" i="1" s="1"/>
  <c r="Q79" i="1" s="1"/>
  <c r="Q80" i="1" s="1"/>
  <c r="Q81" i="1" s="1"/>
  <c r="Q82" i="1" s="1"/>
  <c r="Q83" i="1" s="1"/>
  <c r="R83" i="1" s="1"/>
  <c r="O84" i="1"/>
  <c r="O77" i="1" s="1"/>
  <c r="L74" i="1"/>
  <c r="L75" i="1" s="1"/>
  <c r="L76" i="1" s="1"/>
  <c r="L77" i="1" s="1"/>
  <c r="L78" i="1" s="1"/>
  <c r="L79" i="1" s="1"/>
  <c r="L80" i="1" s="1"/>
  <c r="L81" i="1" s="1"/>
  <c r="L82" i="1" s="1"/>
  <c r="L83" i="1" s="1"/>
  <c r="M83" i="1" s="1"/>
  <c r="Y82" i="1"/>
  <c r="Y81" i="1"/>
  <c r="T77" i="1"/>
  <c r="Y76" i="1"/>
  <c r="AI72" i="1"/>
  <c r="AF72" i="1"/>
  <c r="AD72" i="1"/>
  <c r="AA72" i="1"/>
  <c r="Y72" i="1"/>
  <c r="V72" i="1"/>
  <c r="T72" i="1"/>
  <c r="Q72" i="1"/>
  <c r="O72" i="1"/>
  <c r="L72" i="1"/>
  <c r="AI70" i="1"/>
  <c r="AI68" i="1" s="1"/>
  <c r="AF70" i="1"/>
  <c r="AD70" i="1"/>
  <c r="AD65" i="1" s="1"/>
  <c r="AA70" i="1"/>
  <c r="AF60" i="1" s="1"/>
  <c r="Y70" i="1"/>
  <c r="Y62" i="1" s="1"/>
  <c r="V70" i="1"/>
  <c r="V61" i="1" s="1"/>
  <c r="V62" i="1" s="1"/>
  <c r="V63" i="1" s="1"/>
  <c r="V64" i="1" s="1"/>
  <c r="V65" i="1" s="1"/>
  <c r="V66" i="1" s="1"/>
  <c r="V67" i="1" s="1"/>
  <c r="V68" i="1" s="1"/>
  <c r="V69" i="1" s="1"/>
  <c r="T70" i="1"/>
  <c r="T60" i="1" s="1"/>
  <c r="Q70" i="1"/>
  <c r="Q61" i="1" s="1"/>
  <c r="Q62" i="1" s="1"/>
  <c r="Q63" i="1" s="1"/>
  <c r="Q64" i="1" s="1"/>
  <c r="Q65" i="1" s="1"/>
  <c r="Q66" i="1" s="1"/>
  <c r="Q67" i="1" s="1"/>
  <c r="Q68" i="1" s="1"/>
  <c r="Q69" i="1" s="1"/>
  <c r="O70" i="1"/>
  <c r="O67" i="1" s="1"/>
  <c r="L60" i="1"/>
  <c r="L61" i="1" s="1"/>
  <c r="L62" i="1" s="1"/>
  <c r="L63" i="1" s="1"/>
  <c r="L64" i="1" s="1"/>
  <c r="L65" i="1" s="1"/>
  <c r="L66" i="1" s="1"/>
  <c r="L67" i="1" s="1"/>
  <c r="L68" i="1" s="1"/>
  <c r="L69" i="1" s="1"/>
  <c r="M69" i="1" s="1"/>
  <c r="AI66" i="1"/>
  <c r="AD64" i="1"/>
  <c r="AD63" i="1"/>
  <c r="AD62" i="1"/>
  <c r="AD61" i="1"/>
  <c r="AD60" i="1"/>
  <c r="AI58" i="1"/>
  <c r="AF58" i="1"/>
  <c r="AG58" i="1" s="1"/>
  <c r="AD58" i="1"/>
  <c r="AA58" i="1"/>
  <c r="AB58" i="1" s="1"/>
  <c r="Y58" i="1"/>
  <c r="V58" i="1"/>
  <c r="W58" i="1" s="1"/>
  <c r="T58" i="1"/>
  <c r="Q58" i="1"/>
  <c r="R58" i="1" s="1"/>
  <c r="O58" i="1"/>
  <c r="L58" i="1"/>
  <c r="M58" i="1" s="1"/>
  <c r="AI56" i="1"/>
  <c r="AI46" i="1" s="1"/>
  <c r="AF56" i="1"/>
  <c r="AD56" i="1"/>
  <c r="AD55" i="1" s="1"/>
  <c r="AB56" i="1"/>
  <c r="Y56" i="1"/>
  <c r="W56" i="1"/>
  <c r="T56" i="1"/>
  <c r="T54" i="1" s="1"/>
  <c r="Q56" i="1"/>
  <c r="O56" i="1"/>
  <c r="O49" i="1" s="1"/>
  <c r="M56" i="1"/>
  <c r="Y55" i="1"/>
  <c r="T55" i="1"/>
  <c r="O55" i="1"/>
  <c r="AI54" i="1"/>
  <c r="Y54" i="1"/>
  <c r="Y53" i="1"/>
  <c r="T53" i="1"/>
  <c r="O53" i="1"/>
  <c r="Y52" i="1"/>
  <c r="T52" i="1"/>
  <c r="O52" i="1"/>
  <c r="AI51" i="1"/>
  <c r="Y51" i="1"/>
  <c r="T51" i="1"/>
  <c r="Y50" i="1"/>
  <c r="T50" i="1"/>
  <c r="O50" i="1"/>
  <c r="AI49" i="1"/>
  <c r="Y49" i="1"/>
  <c r="T49" i="1"/>
  <c r="Y48" i="1"/>
  <c r="T48" i="1"/>
  <c r="O48" i="1"/>
  <c r="AI47" i="1"/>
  <c r="Y47" i="1"/>
  <c r="V47" i="1"/>
  <c r="T47" i="1"/>
  <c r="O47" i="1"/>
  <c r="Y46" i="1"/>
  <c r="W46" i="1"/>
  <c r="T46" i="1"/>
  <c r="O46" i="1"/>
  <c r="L46" i="1"/>
  <c r="L47" i="1" s="1"/>
  <c r="AI44" i="1"/>
  <c r="AF44" i="1"/>
  <c r="AG44" i="1" s="1"/>
  <c r="AD44" i="1"/>
  <c r="AA44" i="1"/>
  <c r="AB44" i="1" s="1"/>
  <c r="Y44" i="1"/>
  <c r="V44" i="1"/>
  <c r="W44" i="1" s="1"/>
  <c r="T44" i="1"/>
  <c r="R44" i="1"/>
  <c r="Q44" i="1"/>
  <c r="O44" i="1"/>
  <c r="L44" i="1"/>
  <c r="M44" i="1" s="1"/>
  <c r="AI42" i="1"/>
  <c r="AI38" i="1" s="1"/>
  <c r="AF42" i="1"/>
  <c r="AD42" i="1"/>
  <c r="AD37" i="1" s="1"/>
  <c r="AA42" i="1"/>
  <c r="AB42" i="1" s="1"/>
  <c r="Y42" i="1"/>
  <c r="Y39" i="1" s="1"/>
  <c r="V42" i="1"/>
  <c r="V32" i="1" s="1"/>
  <c r="W32" i="1" s="1"/>
  <c r="T42" i="1"/>
  <c r="T40" i="1" s="1"/>
  <c r="Q42" i="1"/>
  <c r="O42" i="1"/>
  <c r="O34" i="1" s="1"/>
  <c r="L42" i="1"/>
  <c r="M42" i="1" s="1"/>
  <c r="T41" i="1"/>
  <c r="AD38" i="1"/>
  <c r="Y38" i="1"/>
  <c r="T38" i="1"/>
  <c r="T34" i="1"/>
  <c r="AD33" i="1"/>
  <c r="Y33" i="1"/>
  <c r="T33" i="1"/>
  <c r="L32" i="1"/>
  <c r="L33" i="1" s="1"/>
  <c r="AI30" i="1"/>
  <c r="AF30" i="1"/>
  <c r="AG30" i="1" s="1"/>
  <c r="AD30" i="1"/>
  <c r="AA30" i="1"/>
  <c r="AB30" i="1" s="1"/>
  <c r="Y30" i="1"/>
  <c r="V30" i="1"/>
  <c r="W30" i="1" s="1"/>
  <c r="T30" i="1"/>
  <c r="R30" i="1"/>
  <c r="Q30" i="1"/>
  <c r="O30" i="1"/>
  <c r="L30" i="1"/>
  <c r="M30" i="1" s="1"/>
  <c r="AI28" i="1"/>
  <c r="AF28" i="1"/>
  <c r="AD28" i="1"/>
  <c r="AD21" i="1" s="1"/>
  <c r="AA28" i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Y28" i="1"/>
  <c r="Y22" i="1" s="1"/>
  <c r="V28" i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T28" i="1"/>
  <c r="T22" i="1" s="1"/>
  <c r="Q28" i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O28" i="1"/>
  <c r="O23" i="1" s="1"/>
  <c r="L28" i="1"/>
  <c r="M28" i="1" s="1"/>
  <c r="AI27" i="1"/>
  <c r="AI26" i="1"/>
  <c r="AD26" i="1"/>
  <c r="Y26" i="1"/>
  <c r="T26" i="1"/>
  <c r="AI25" i="1"/>
  <c r="AD25" i="1"/>
  <c r="AI24" i="1"/>
  <c r="Y24" i="1"/>
  <c r="T24" i="1"/>
  <c r="AI23" i="1"/>
  <c r="AD23" i="1"/>
  <c r="Y23" i="1"/>
  <c r="T23" i="1"/>
  <c r="I23" i="1"/>
  <c r="H23" i="1"/>
  <c r="F23" i="1"/>
  <c r="E23" i="1"/>
  <c r="D23" i="1"/>
  <c r="AD22" i="1"/>
  <c r="G22" i="1"/>
  <c r="J22" i="1" s="1"/>
  <c r="AI21" i="1"/>
  <c r="T21" i="1"/>
  <c r="G21" i="1"/>
  <c r="J21" i="1" s="1"/>
  <c r="AD20" i="1"/>
  <c r="G20" i="1"/>
  <c r="J20" i="1" s="1"/>
  <c r="B20" i="1"/>
  <c r="AD19" i="1"/>
  <c r="Y19" i="1"/>
  <c r="G19" i="1"/>
  <c r="J19" i="1" s="1"/>
  <c r="B19" i="1"/>
  <c r="AD18" i="1"/>
  <c r="G18" i="1"/>
  <c r="J18" i="1" s="1"/>
  <c r="B18" i="1"/>
  <c r="J17" i="1"/>
  <c r="G17" i="1"/>
  <c r="B17" i="1"/>
  <c r="AI16" i="1"/>
  <c r="AF16" i="1"/>
  <c r="AG16" i="1" s="1"/>
  <c r="AD16" i="1"/>
  <c r="AA16" i="1"/>
  <c r="AB16" i="1" s="1"/>
  <c r="Y16" i="1"/>
  <c r="V16" i="1"/>
  <c r="W16" i="1" s="1"/>
  <c r="T16" i="1"/>
  <c r="Q16" i="1"/>
  <c r="R16" i="1" s="1"/>
  <c r="O16" i="1"/>
  <c r="L16" i="1"/>
  <c r="M16" i="1" s="1"/>
  <c r="AI14" i="1"/>
  <c r="AI6" i="1" s="1"/>
  <c r="AF14" i="1"/>
  <c r="AD14" i="1"/>
  <c r="AD12" i="1" s="1"/>
  <c r="AA14" i="1"/>
  <c r="AA4" i="1" s="1"/>
  <c r="Y14" i="1"/>
  <c r="Y8" i="1" s="1"/>
  <c r="V14" i="1"/>
  <c r="W14" i="1" s="1"/>
  <c r="T14" i="1"/>
  <c r="Q14" i="1"/>
  <c r="R14" i="1" s="1"/>
  <c r="O14" i="1"/>
  <c r="O6" i="1" s="1"/>
  <c r="L14" i="1"/>
  <c r="M14" i="1" s="1"/>
  <c r="T13" i="1"/>
  <c r="O13" i="1"/>
  <c r="AI12" i="1"/>
  <c r="T12" i="1"/>
  <c r="O12" i="1"/>
  <c r="Y11" i="1"/>
  <c r="T11" i="1"/>
  <c r="T10" i="1"/>
  <c r="O10" i="1"/>
  <c r="T9" i="1"/>
  <c r="O9" i="1"/>
  <c r="AI8" i="1"/>
  <c r="AD8" i="1"/>
  <c r="T8" i="1"/>
  <c r="O8" i="1"/>
  <c r="T7" i="1"/>
  <c r="O7" i="1"/>
  <c r="T6" i="1"/>
  <c r="AD5" i="1"/>
  <c r="Y5" i="1"/>
  <c r="T5" i="1"/>
  <c r="T4" i="1"/>
  <c r="O4" i="1"/>
  <c r="AI2" i="1"/>
  <c r="AF2" i="1"/>
  <c r="AG2" i="1" s="1"/>
  <c r="AD2" i="1"/>
  <c r="AA2" i="1"/>
  <c r="AB2" i="1" s="1"/>
  <c r="Y2" i="1"/>
  <c r="W2" i="1"/>
  <c r="V2" i="1"/>
  <c r="T2" i="1"/>
  <c r="R2" i="1"/>
  <c r="Q2" i="1"/>
  <c r="O2" i="1"/>
  <c r="L2" i="1"/>
  <c r="M2" i="1" s="1"/>
  <c r="AD49" i="1" l="1"/>
  <c r="AI5" i="1"/>
  <c r="O26" i="1"/>
  <c r="AD39" i="1"/>
  <c r="AI60" i="1"/>
  <c r="T69" i="1"/>
  <c r="Y40" i="1"/>
  <c r="Y6" i="1"/>
  <c r="AD9" i="1"/>
  <c r="T19" i="1"/>
  <c r="O24" i="1"/>
  <c r="AD34" i="1"/>
  <c r="AD40" i="1"/>
  <c r="AD47" i="1"/>
  <c r="AI52" i="1"/>
  <c r="AI55" i="1"/>
  <c r="AI61" i="1"/>
  <c r="AD13" i="1"/>
  <c r="Y36" i="1"/>
  <c r="Y41" i="1"/>
  <c r="AI62" i="1"/>
  <c r="AD7" i="1"/>
  <c r="AI13" i="1"/>
  <c r="AD24" i="1"/>
  <c r="O27" i="1"/>
  <c r="AD36" i="1"/>
  <c r="AD41" i="1"/>
  <c r="AI50" i="1"/>
  <c r="AI67" i="1"/>
  <c r="AD4" i="1"/>
  <c r="AI7" i="1"/>
  <c r="Y10" i="1"/>
  <c r="T27" i="1"/>
  <c r="T37" i="1"/>
  <c r="O51" i="1"/>
  <c r="AI53" i="1"/>
  <c r="AI63" i="1"/>
  <c r="AD50" i="1"/>
  <c r="O20" i="1"/>
  <c r="O25" i="1"/>
  <c r="AD27" i="1"/>
  <c r="Y32" i="1"/>
  <c r="Y37" i="1"/>
  <c r="AI48" i="1"/>
  <c r="O54" i="1"/>
  <c r="Y34" i="1"/>
  <c r="AI9" i="1"/>
  <c r="AD35" i="1"/>
  <c r="O5" i="1"/>
  <c r="AI10" i="1"/>
  <c r="T20" i="1"/>
  <c r="T25" i="1"/>
  <c r="AD32" i="1"/>
  <c r="AD46" i="1"/>
  <c r="AI64" i="1"/>
  <c r="AI4" i="1"/>
  <c r="AD10" i="1"/>
  <c r="Y20" i="1"/>
  <c r="Y25" i="1"/>
  <c r="AD51" i="1"/>
  <c r="AI65" i="1"/>
  <c r="O74" i="1"/>
  <c r="W84" i="1"/>
  <c r="P17" i="3"/>
  <c r="N52" i="3"/>
  <c r="AI83" i="1"/>
  <c r="AD81" i="1"/>
  <c r="AD82" i="1"/>
  <c r="AD75" i="1"/>
  <c r="AD74" i="1"/>
  <c r="AD76" i="1"/>
  <c r="AD77" i="1"/>
  <c r="AD78" i="1"/>
  <c r="AD79" i="1"/>
  <c r="AD80" i="1"/>
  <c r="Y77" i="1"/>
  <c r="Y83" i="1"/>
  <c r="Y78" i="1"/>
  <c r="Y79" i="1"/>
  <c r="Y74" i="1"/>
  <c r="Y80" i="1"/>
  <c r="T78" i="1"/>
  <c r="T74" i="1"/>
  <c r="T75" i="1"/>
  <c r="T76" i="1"/>
  <c r="O76" i="1"/>
  <c r="O75" i="1"/>
  <c r="AF74" i="1"/>
  <c r="AG74" i="1" s="1"/>
  <c r="W82" i="1"/>
  <c r="W81" i="1"/>
  <c r="W80" i="1"/>
  <c r="W79" i="1"/>
  <c r="W78" i="1"/>
  <c r="W77" i="1"/>
  <c r="W76" i="1"/>
  <c r="W75" i="1"/>
  <c r="W74" i="1"/>
  <c r="R84" i="1"/>
  <c r="R82" i="1"/>
  <c r="R81" i="1"/>
  <c r="R80" i="1"/>
  <c r="R79" i="1"/>
  <c r="R78" i="1"/>
  <c r="R77" i="1"/>
  <c r="R76" i="1"/>
  <c r="R75" i="1"/>
  <c r="M74" i="1"/>
  <c r="M84" i="1"/>
  <c r="M82" i="1"/>
  <c r="M81" i="1"/>
  <c r="M80" i="1"/>
  <c r="M79" i="1"/>
  <c r="M78" i="1"/>
  <c r="M77" i="1"/>
  <c r="M76" i="1"/>
  <c r="M75" i="1"/>
  <c r="M60" i="1"/>
  <c r="M70" i="1"/>
  <c r="M67" i="1"/>
  <c r="M66" i="1"/>
  <c r="M65" i="1"/>
  <c r="M64" i="1"/>
  <c r="M63" i="1"/>
  <c r="M68" i="1"/>
  <c r="M62" i="1"/>
  <c r="AF18" i="1"/>
  <c r="AF19" i="1" s="1"/>
  <c r="AA74" i="1"/>
  <c r="Q4" i="1"/>
  <c r="Q5" i="1" s="1"/>
  <c r="R5" i="1" s="1"/>
  <c r="AG28" i="1"/>
  <c r="AG84" i="1"/>
  <c r="M32" i="1"/>
  <c r="AF4" i="1"/>
  <c r="AG18" i="1"/>
  <c r="V33" i="1"/>
  <c r="V34" i="1" s="1"/>
  <c r="AB14" i="1"/>
  <c r="W42" i="1"/>
  <c r="AF61" i="1"/>
  <c r="M46" i="1"/>
  <c r="AA32" i="1"/>
  <c r="V4" i="1"/>
  <c r="V5" i="1" s="1"/>
  <c r="W5" i="1" s="1"/>
  <c r="AF32" i="1"/>
  <c r="AA60" i="1"/>
  <c r="AA61" i="1" s="1"/>
  <c r="AA62" i="1" s="1"/>
  <c r="AA63" i="1" s="1"/>
  <c r="AA64" i="1" s="1"/>
  <c r="AA65" i="1" s="1"/>
  <c r="AA66" i="1" s="1"/>
  <c r="AA67" i="1" s="1"/>
  <c r="AA68" i="1" s="1"/>
  <c r="AA69" i="1" s="1"/>
  <c r="AG70" i="1"/>
  <c r="L18" i="1"/>
  <c r="L19" i="1" s="1"/>
  <c r="AA46" i="1"/>
  <c r="AA47" i="1" s="1"/>
  <c r="AF46" i="1"/>
  <c r="AG42" i="1"/>
  <c r="R56" i="1"/>
  <c r="Q46" i="1"/>
  <c r="AG60" i="4"/>
  <c r="AG70" i="4"/>
  <c r="AF61" i="4"/>
  <c r="Q32" i="1"/>
  <c r="R42" i="1"/>
  <c r="Q35" i="4"/>
  <c r="R34" i="4"/>
  <c r="R33" i="4"/>
  <c r="V48" i="1"/>
  <c r="W47" i="1"/>
  <c r="AG19" i="1"/>
  <c r="AF20" i="1"/>
  <c r="O41" i="1"/>
  <c r="O37" i="1"/>
  <c r="O33" i="1"/>
  <c r="O40" i="1"/>
  <c r="O36" i="1"/>
  <c r="O32" i="1"/>
  <c r="O39" i="1"/>
  <c r="O35" i="1"/>
  <c r="Q6" i="1"/>
  <c r="L4" i="1"/>
  <c r="AI20" i="1"/>
  <c r="AI19" i="1"/>
  <c r="AI22" i="1"/>
  <c r="AI18" i="1"/>
  <c r="L34" i="1"/>
  <c r="M33" i="1"/>
  <c r="AI41" i="1"/>
  <c r="AI37" i="1"/>
  <c r="AI33" i="1"/>
  <c r="AI40" i="1"/>
  <c r="AI36" i="1"/>
  <c r="AI32" i="1"/>
  <c r="AI39" i="1"/>
  <c r="AI35" i="1"/>
  <c r="J23" i="1"/>
  <c r="V48" i="4"/>
  <c r="W47" i="4"/>
  <c r="L48" i="1"/>
  <c r="M47" i="1"/>
  <c r="P9" i="3"/>
  <c r="AG14" i="1"/>
  <c r="W46" i="4"/>
  <c r="P15" i="3"/>
  <c r="L33" i="4"/>
  <c r="M32" i="4"/>
  <c r="AB4" i="1"/>
  <c r="AA5" i="1"/>
  <c r="R4" i="1"/>
  <c r="AA33" i="1"/>
  <c r="AB32" i="1"/>
  <c r="O38" i="1"/>
  <c r="Y7" i="1"/>
  <c r="Y4" i="1"/>
  <c r="Y13" i="1"/>
  <c r="Y9" i="1"/>
  <c r="Y12" i="1"/>
  <c r="O19" i="1"/>
  <c r="O22" i="1"/>
  <c r="O18" i="1"/>
  <c r="O21" i="1"/>
  <c r="AI34" i="1"/>
  <c r="M42" i="4"/>
  <c r="Y60" i="1"/>
  <c r="O41" i="5"/>
  <c r="O37" i="5"/>
  <c r="O33" i="5"/>
  <c r="O40" i="5"/>
  <c r="O36" i="5"/>
  <c r="O32" i="5"/>
  <c r="O39" i="5"/>
  <c r="O35" i="5"/>
  <c r="O34" i="5"/>
  <c r="O38" i="5"/>
  <c r="O60" i="1"/>
  <c r="O61" i="1"/>
  <c r="O62" i="1"/>
  <c r="O63" i="1"/>
  <c r="O64" i="1"/>
  <c r="O65" i="1"/>
  <c r="V7" i="4"/>
  <c r="W6" i="4"/>
  <c r="AF20" i="4"/>
  <c r="AG19" i="4"/>
  <c r="L6" i="5"/>
  <c r="M5" i="5"/>
  <c r="AI74" i="1"/>
  <c r="AI75" i="1"/>
  <c r="AI76" i="1"/>
  <c r="AI77" i="1"/>
  <c r="AI78" i="1"/>
  <c r="AI79" i="1"/>
  <c r="AI80" i="1"/>
  <c r="AI81" i="1"/>
  <c r="L6" i="4"/>
  <c r="M5" i="4"/>
  <c r="W5" i="4"/>
  <c r="O74" i="4"/>
  <c r="O75" i="4"/>
  <c r="O76" i="4"/>
  <c r="O77" i="4"/>
  <c r="O78" i="4"/>
  <c r="O79" i="4"/>
  <c r="O81" i="4"/>
  <c r="O82" i="4"/>
  <c r="O83" i="4"/>
  <c r="O80" i="4"/>
  <c r="T61" i="1"/>
  <c r="T62" i="1"/>
  <c r="T63" i="1"/>
  <c r="T64" i="1"/>
  <c r="T65" i="1"/>
  <c r="T66" i="1"/>
  <c r="T67" i="1"/>
  <c r="G23" i="4"/>
  <c r="J23" i="4" s="1"/>
  <c r="J17" i="4"/>
  <c r="T35" i="1"/>
  <c r="T39" i="1"/>
  <c r="O68" i="1"/>
  <c r="L13" i="2"/>
  <c r="V34" i="4"/>
  <c r="W33" i="4"/>
  <c r="AI55" i="4"/>
  <c r="AI51" i="4"/>
  <c r="AI54" i="4"/>
  <c r="AI50" i="4"/>
  <c r="AI49" i="4"/>
  <c r="AI52" i="4"/>
  <c r="AI46" i="4"/>
  <c r="AI47" i="4"/>
  <c r="AI53" i="4"/>
  <c r="Y27" i="1"/>
  <c r="Y63" i="1"/>
  <c r="Y64" i="1"/>
  <c r="Y65" i="1"/>
  <c r="Y66" i="1"/>
  <c r="Y67" i="1"/>
  <c r="Y68" i="1"/>
  <c r="Y69" i="1"/>
  <c r="AA6" i="4"/>
  <c r="AB5" i="4"/>
  <c r="W32" i="4"/>
  <c r="AD11" i="1"/>
  <c r="W4" i="1"/>
  <c r="AD6" i="1"/>
  <c r="Y21" i="1"/>
  <c r="T68" i="1"/>
  <c r="AB4" i="4"/>
  <c r="T13" i="4"/>
  <c r="T9" i="4"/>
  <c r="T7" i="4"/>
  <c r="T4" i="4"/>
  <c r="T12" i="4"/>
  <c r="T6" i="4"/>
  <c r="T11" i="4"/>
  <c r="L19" i="4"/>
  <c r="M18" i="4"/>
  <c r="L47" i="4"/>
  <c r="M46" i="4"/>
  <c r="T13" i="5"/>
  <c r="T9" i="5"/>
  <c r="T7" i="5"/>
  <c r="T4" i="5"/>
  <c r="T12" i="5"/>
  <c r="T6" i="5"/>
  <c r="T11" i="5"/>
  <c r="T5" i="5"/>
  <c r="T8" i="5"/>
  <c r="T18" i="1"/>
  <c r="T32" i="1"/>
  <c r="Y35" i="1"/>
  <c r="T36" i="1"/>
  <c r="AD48" i="1"/>
  <c r="AD52" i="1"/>
  <c r="AD54" i="1"/>
  <c r="Y61" i="1"/>
  <c r="AA34" i="4"/>
  <c r="AB33" i="4"/>
  <c r="Q35" i="5"/>
  <c r="R34" i="5"/>
  <c r="O11" i="1"/>
  <c r="AI11" i="1"/>
  <c r="AD53" i="1"/>
  <c r="O66" i="1"/>
  <c r="O69" i="1"/>
  <c r="W14" i="4"/>
  <c r="R33" i="5"/>
  <c r="Y18" i="1"/>
  <c r="L75" i="2"/>
  <c r="Q6" i="4"/>
  <c r="AF33" i="4"/>
  <c r="AF50" i="5"/>
  <c r="AG49" i="5"/>
  <c r="AF19" i="6"/>
  <c r="AG18" i="6"/>
  <c r="AG70" i="6"/>
  <c r="AG60" i="6"/>
  <c r="AF61" i="6"/>
  <c r="AI21" i="4"/>
  <c r="AA47" i="4"/>
  <c r="AB46" i="4"/>
  <c r="M56" i="4"/>
  <c r="Y60" i="4"/>
  <c r="Y61" i="4"/>
  <c r="Y62" i="4"/>
  <c r="Y63" i="4"/>
  <c r="Y64" i="4"/>
  <c r="Y65" i="4"/>
  <c r="Y67" i="4"/>
  <c r="Y68" i="4"/>
  <c r="AA6" i="5"/>
  <c r="AB5" i="5"/>
  <c r="W14" i="5"/>
  <c r="Q49" i="5"/>
  <c r="R48" i="5"/>
  <c r="AG48" i="5"/>
  <c r="AI75" i="5"/>
  <c r="AI76" i="5"/>
  <c r="AI77" i="5"/>
  <c r="AI79" i="5"/>
  <c r="AI80" i="5"/>
  <c r="AI81" i="5"/>
  <c r="AI83" i="5"/>
  <c r="AI82" i="5"/>
  <c r="AI74" i="5"/>
  <c r="AI78" i="5"/>
  <c r="M4" i="4"/>
  <c r="AG4" i="4"/>
  <c r="M28" i="4"/>
  <c r="AB32" i="4"/>
  <c r="R42" i="4"/>
  <c r="O55" i="4"/>
  <c r="O51" i="4"/>
  <c r="O54" i="4"/>
  <c r="O50" i="4"/>
  <c r="AB4" i="5"/>
  <c r="AF20" i="5"/>
  <c r="AG19" i="5"/>
  <c r="R47" i="5"/>
  <c r="L5" i="6"/>
  <c r="M4" i="6"/>
  <c r="O83" i="1"/>
  <c r="AG18" i="4"/>
  <c r="O35" i="4"/>
  <c r="AI35" i="4"/>
  <c r="O39" i="4"/>
  <c r="AI39" i="4"/>
  <c r="Y41" i="4"/>
  <c r="AA60" i="4"/>
  <c r="AA61" i="4" s="1"/>
  <c r="AA62" i="4" s="1"/>
  <c r="AA63" i="4" s="1"/>
  <c r="AA64" i="4" s="1"/>
  <c r="AA65" i="4" s="1"/>
  <c r="AA66" i="4" s="1"/>
  <c r="AA67" i="4" s="1"/>
  <c r="AA68" i="4" s="1"/>
  <c r="AA69" i="4" s="1"/>
  <c r="Y66" i="4"/>
  <c r="AG28" i="5"/>
  <c r="V48" i="5"/>
  <c r="W47" i="5"/>
  <c r="O82" i="1"/>
  <c r="Y11" i="4"/>
  <c r="AI18" i="4"/>
  <c r="AI22" i="4"/>
  <c r="O48" i="4"/>
  <c r="T54" i="4"/>
  <c r="T50" i="4"/>
  <c r="T53" i="4"/>
  <c r="T49" i="4"/>
  <c r="AF6" i="5"/>
  <c r="AG5" i="5"/>
  <c r="AI19" i="5"/>
  <c r="AI22" i="5"/>
  <c r="AI18" i="5"/>
  <c r="AI21" i="5"/>
  <c r="V34" i="5"/>
  <c r="W33" i="5"/>
  <c r="AD69" i="1"/>
  <c r="O81" i="1"/>
  <c r="T83" i="1"/>
  <c r="R4" i="4"/>
  <c r="AF5" i="4"/>
  <c r="Y6" i="4"/>
  <c r="AG32" i="4"/>
  <c r="Y69" i="4"/>
  <c r="Q6" i="5"/>
  <c r="AI27" i="5"/>
  <c r="W32" i="5"/>
  <c r="M32" i="6"/>
  <c r="L33" i="6"/>
  <c r="Q49" i="6"/>
  <c r="R48" i="6"/>
  <c r="AD68" i="1"/>
  <c r="AF75" i="1"/>
  <c r="O80" i="1"/>
  <c r="T82" i="1"/>
  <c r="O32" i="4"/>
  <c r="AI32" i="4"/>
  <c r="O36" i="4"/>
  <c r="AI36" i="4"/>
  <c r="O40" i="4"/>
  <c r="AI40" i="4"/>
  <c r="O46" i="4"/>
  <c r="O47" i="4"/>
  <c r="T48" i="4"/>
  <c r="O53" i="4"/>
  <c r="L19" i="5"/>
  <c r="M18" i="5"/>
  <c r="AA48" i="5"/>
  <c r="AB47" i="5"/>
  <c r="Q35" i="6"/>
  <c r="R34" i="6"/>
  <c r="M46" i="6"/>
  <c r="L47" i="6"/>
  <c r="AD67" i="1"/>
  <c r="O79" i="1"/>
  <c r="T81" i="1"/>
  <c r="AD11" i="4"/>
  <c r="Y12" i="4"/>
  <c r="Q47" i="4"/>
  <c r="AA34" i="5"/>
  <c r="AB33" i="5"/>
  <c r="AD66" i="1"/>
  <c r="AI69" i="1"/>
  <c r="O78" i="1"/>
  <c r="T80" i="1"/>
  <c r="T55" i="4"/>
  <c r="AG75" i="4"/>
  <c r="AF76" i="4"/>
  <c r="AI24" i="5"/>
  <c r="AG42" i="5"/>
  <c r="L50" i="5"/>
  <c r="M49" i="5"/>
  <c r="Y4" i="4"/>
  <c r="T32" i="4"/>
  <c r="O33" i="4"/>
  <c r="AI33" i="4"/>
  <c r="Y35" i="4"/>
  <c r="T36" i="4"/>
  <c r="O37" i="4"/>
  <c r="AI37" i="4"/>
  <c r="T46" i="4"/>
  <c r="T47" i="4"/>
  <c r="AF48" i="4"/>
  <c r="O52" i="4"/>
  <c r="V5" i="5"/>
  <c r="G23" i="5"/>
  <c r="J23" i="5" s="1"/>
  <c r="J17" i="5"/>
  <c r="AF34" i="5"/>
  <c r="L33" i="5"/>
  <c r="M32" i="5"/>
  <c r="AI41" i="5"/>
  <c r="AI37" i="5"/>
  <c r="AI33" i="5"/>
  <c r="AI40" i="5"/>
  <c r="AI36" i="5"/>
  <c r="AI32" i="5"/>
  <c r="AI39" i="5"/>
  <c r="AI35" i="5"/>
  <c r="M48" i="5"/>
  <c r="Y74" i="4"/>
  <c r="O20" i="5"/>
  <c r="AF75" i="5"/>
  <c r="G23" i="6"/>
  <c r="J23" i="6" s="1"/>
  <c r="J19" i="6"/>
  <c r="AG76" i="6"/>
  <c r="AF77" i="6"/>
  <c r="AD69" i="4"/>
  <c r="T83" i="4"/>
  <c r="M4" i="5"/>
  <c r="AG4" i="5"/>
  <c r="M28" i="5"/>
  <c r="AB32" i="5"/>
  <c r="R42" i="5"/>
  <c r="AB46" i="5"/>
  <c r="Y55" i="5"/>
  <c r="Y51" i="5"/>
  <c r="Q6" i="6"/>
  <c r="R5" i="6"/>
  <c r="V34" i="6"/>
  <c r="W33" i="6"/>
  <c r="AD67" i="4"/>
  <c r="T81" i="4"/>
  <c r="Y83" i="4"/>
  <c r="O9" i="5"/>
  <c r="AI9" i="5"/>
  <c r="Y11" i="5"/>
  <c r="O21" i="5"/>
  <c r="Y50" i="5"/>
  <c r="AG70" i="5"/>
  <c r="T12" i="6"/>
  <c r="T11" i="6"/>
  <c r="T13" i="6"/>
  <c r="T9" i="6"/>
  <c r="AB33" i="6"/>
  <c r="AA34" i="6"/>
  <c r="V48" i="6"/>
  <c r="W47" i="6"/>
  <c r="AG46" i="4"/>
  <c r="AD66" i="4"/>
  <c r="T80" i="4"/>
  <c r="Y82" i="4"/>
  <c r="R4" i="5"/>
  <c r="Y6" i="5"/>
  <c r="Y49" i="5"/>
  <c r="AG60" i="5"/>
  <c r="AF61" i="5"/>
  <c r="W6" i="6"/>
  <c r="V7" i="6"/>
  <c r="Y41" i="6"/>
  <c r="Y37" i="6"/>
  <c r="Y33" i="6"/>
  <c r="Y40" i="6"/>
  <c r="Y36" i="6"/>
  <c r="Y32" i="6"/>
  <c r="Y39" i="6"/>
  <c r="Y35" i="6"/>
  <c r="AB47" i="6"/>
  <c r="AA48" i="6"/>
  <c r="AD65" i="4"/>
  <c r="T79" i="4"/>
  <c r="Y81" i="4"/>
  <c r="T21" i="5"/>
  <c r="T35" i="5"/>
  <c r="T39" i="5"/>
  <c r="Y48" i="5"/>
  <c r="AD54" i="5"/>
  <c r="AD50" i="5"/>
  <c r="Y55" i="6"/>
  <c r="Y51" i="6"/>
  <c r="Y47" i="6"/>
  <c r="Y54" i="6"/>
  <c r="Y50" i="6"/>
  <c r="Y46" i="6"/>
  <c r="Y53" i="6"/>
  <c r="Y49" i="6"/>
  <c r="AD64" i="4"/>
  <c r="T78" i="4"/>
  <c r="Y80" i="4"/>
  <c r="Y12" i="5"/>
  <c r="O18" i="5"/>
  <c r="Y54" i="5"/>
  <c r="AB14" i="6"/>
  <c r="AF4" i="6"/>
  <c r="AD63" i="4"/>
  <c r="O69" i="4"/>
  <c r="T77" i="4"/>
  <c r="Y79" i="4"/>
  <c r="AD49" i="5"/>
  <c r="AI53" i="5"/>
  <c r="AI49" i="5"/>
  <c r="AG28" i="6"/>
  <c r="Y4" i="5"/>
  <c r="T32" i="5"/>
  <c r="Y35" i="5"/>
  <c r="T36" i="5"/>
  <c r="AD48" i="5"/>
  <c r="O53" i="5"/>
  <c r="O49" i="5"/>
  <c r="AA4" i="6"/>
  <c r="T8" i="6"/>
  <c r="L21" i="6"/>
  <c r="Y38" i="6"/>
  <c r="T60" i="5"/>
  <c r="Y62" i="5"/>
  <c r="O76" i="5"/>
  <c r="AD82" i="5"/>
  <c r="AF33" i="6"/>
  <c r="AF47" i="6"/>
  <c r="AD80" i="5"/>
  <c r="R14" i="6"/>
  <c r="M19" i="6"/>
  <c r="AA61" i="6"/>
  <c r="T68" i="5"/>
  <c r="AD78" i="5"/>
  <c r="W32" i="6"/>
  <c r="R33" i="6"/>
  <c r="M42" i="6"/>
  <c r="W46" i="6"/>
  <c r="R47" i="6"/>
  <c r="M56" i="6"/>
  <c r="AB70" i="6"/>
  <c r="T66" i="5"/>
  <c r="Y68" i="5"/>
  <c r="AD76" i="5"/>
  <c r="O82" i="5"/>
  <c r="O12" i="6"/>
  <c r="AI12" i="6"/>
  <c r="T64" i="5"/>
  <c r="Y66" i="5"/>
  <c r="O80" i="5"/>
  <c r="AI4" i="6"/>
  <c r="O7" i="6"/>
  <c r="AI7" i="6"/>
  <c r="O9" i="6"/>
  <c r="AI9" i="6"/>
  <c r="AA75" i="1" l="1"/>
  <c r="AB74" i="1"/>
  <c r="AB84" i="1"/>
  <c r="V6" i="1"/>
  <c r="W33" i="1"/>
  <c r="AF62" i="1"/>
  <c r="AF63" i="1" s="1"/>
  <c r="AG4" i="1"/>
  <c r="AF5" i="1"/>
  <c r="AG56" i="1"/>
  <c r="AG46" i="1"/>
  <c r="AB46" i="1"/>
  <c r="M18" i="1"/>
  <c r="AF33" i="1"/>
  <c r="AG32" i="1"/>
  <c r="AF47" i="1"/>
  <c r="AF48" i="1" s="1"/>
  <c r="Q36" i="4"/>
  <c r="R35" i="4"/>
  <c r="AG77" i="6"/>
  <c r="AF78" i="6"/>
  <c r="AB4" i="6"/>
  <c r="AA5" i="6"/>
  <c r="AF20" i="6"/>
  <c r="AG19" i="6"/>
  <c r="M47" i="4"/>
  <c r="L48" i="4"/>
  <c r="L22" i="6"/>
  <c r="M21" i="6"/>
  <c r="AG75" i="5"/>
  <c r="AF76" i="5"/>
  <c r="AA34" i="1"/>
  <c r="AB33" i="1"/>
  <c r="Q33" i="1"/>
  <c r="R32" i="1"/>
  <c r="V35" i="5"/>
  <c r="W34" i="5"/>
  <c r="L7" i="5"/>
  <c r="M6" i="5"/>
  <c r="M4" i="1"/>
  <c r="L5" i="1"/>
  <c r="AF21" i="1"/>
  <c r="AG20" i="1"/>
  <c r="L20" i="1"/>
  <c r="M19" i="1"/>
  <c r="M19" i="5"/>
  <c r="L20" i="5"/>
  <c r="Q7" i="6"/>
  <c r="R6" i="6"/>
  <c r="Q7" i="5"/>
  <c r="R6" i="5"/>
  <c r="M33" i="5"/>
  <c r="L34" i="5"/>
  <c r="W48" i="6"/>
  <c r="V49" i="6"/>
  <c r="AF35" i="5"/>
  <c r="AG34" i="5"/>
  <c r="AG75" i="1"/>
  <c r="AF76" i="1"/>
  <c r="AF6" i="4"/>
  <c r="AG5" i="4"/>
  <c r="AF7" i="5"/>
  <c r="AG6" i="5"/>
  <c r="AG33" i="4"/>
  <c r="AF34" i="4"/>
  <c r="Q36" i="5"/>
  <c r="R35" i="5"/>
  <c r="AB61" i="6"/>
  <c r="AA62" i="6"/>
  <c r="AF77" i="4"/>
  <c r="AG76" i="4"/>
  <c r="V35" i="4"/>
  <c r="W34" i="4"/>
  <c r="AF48" i="6"/>
  <c r="AG47" i="6"/>
  <c r="V8" i="6"/>
  <c r="W7" i="6"/>
  <c r="AF34" i="6"/>
  <c r="AG33" i="6"/>
  <c r="AF5" i="6"/>
  <c r="AG14" i="6"/>
  <c r="AG4" i="6"/>
  <c r="AA35" i="6"/>
  <c r="AB34" i="6"/>
  <c r="Q50" i="5"/>
  <c r="R49" i="5"/>
  <c r="Q7" i="4"/>
  <c r="R6" i="4"/>
  <c r="L7" i="4"/>
  <c r="M6" i="4"/>
  <c r="AG20" i="4"/>
  <c r="AF21" i="4"/>
  <c r="V35" i="1"/>
  <c r="W34" i="1"/>
  <c r="AA48" i="1"/>
  <c r="AB47" i="1"/>
  <c r="AF62" i="4"/>
  <c r="AG61" i="4"/>
  <c r="V7" i="1"/>
  <c r="W6" i="1"/>
  <c r="L48" i="6"/>
  <c r="M47" i="6"/>
  <c r="AA49" i="6"/>
  <c r="AB48" i="6"/>
  <c r="AF62" i="5"/>
  <c r="AG61" i="5"/>
  <c r="R35" i="6"/>
  <c r="Q36" i="6"/>
  <c r="AG20" i="5"/>
  <c r="AF21" i="5"/>
  <c r="AB34" i="4"/>
  <c r="AA35" i="4"/>
  <c r="Q7" i="1"/>
  <c r="R6" i="1"/>
  <c r="AF51" i="5"/>
  <c r="AG50" i="5"/>
  <c r="AB6" i="4"/>
  <c r="AA7" i="4"/>
  <c r="W7" i="4"/>
  <c r="V8" i="4"/>
  <c r="M48" i="1"/>
  <c r="L49" i="1"/>
  <c r="V49" i="1"/>
  <c r="W48" i="1"/>
  <c r="M33" i="4"/>
  <c r="L34" i="4"/>
  <c r="L6" i="6"/>
  <c r="M5" i="6"/>
  <c r="V6" i="5"/>
  <c r="W5" i="5"/>
  <c r="R49" i="6"/>
  <c r="Q50" i="6"/>
  <c r="AA48" i="4"/>
  <c r="AB47" i="4"/>
  <c r="AB34" i="5"/>
  <c r="AA35" i="5"/>
  <c r="AB48" i="5"/>
  <c r="AA49" i="5"/>
  <c r="L34" i="6"/>
  <c r="M33" i="6"/>
  <c r="AB6" i="5"/>
  <c r="AA7" i="5"/>
  <c r="AA6" i="1"/>
  <c r="AB5" i="1"/>
  <c r="Q47" i="1"/>
  <c r="R46" i="1"/>
  <c r="V49" i="5"/>
  <c r="W48" i="5"/>
  <c r="M19" i="4"/>
  <c r="L20" i="4"/>
  <c r="W34" i="6"/>
  <c r="V35" i="6"/>
  <c r="AF49" i="4"/>
  <c r="AG48" i="4"/>
  <c r="L51" i="5"/>
  <c r="M50" i="5"/>
  <c r="R47" i="4"/>
  <c r="Q48" i="4"/>
  <c r="AG61" i="6"/>
  <c r="AF62" i="6"/>
  <c r="V49" i="4"/>
  <c r="W48" i="4"/>
  <c r="M34" i="1"/>
  <c r="L35" i="1"/>
  <c r="AA76" i="1" l="1"/>
  <c r="AB75" i="1"/>
  <c r="AF6" i="1"/>
  <c r="AG5" i="1"/>
  <c r="AG47" i="1"/>
  <c r="AG33" i="1"/>
  <c r="AF34" i="1"/>
  <c r="AF50" i="4"/>
  <c r="AG49" i="4"/>
  <c r="V7" i="5"/>
  <c r="W6" i="5"/>
  <c r="AF63" i="4"/>
  <c r="AG62" i="4"/>
  <c r="R50" i="5"/>
  <c r="Q51" i="5"/>
  <c r="M48" i="4"/>
  <c r="L49" i="4"/>
  <c r="V8" i="1"/>
  <c r="W7" i="1"/>
  <c r="AF49" i="6"/>
  <c r="AG48" i="6"/>
  <c r="AG63" i="1"/>
  <c r="AF64" i="1"/>
  <c r="V36" i="6"/>
  <c r="W35" i="6"/>
  <c r="R7" i="6"/>
  <c r="Q8" i="6"/>
  <c r="W35" i="5"/>
  <c r="V36" i="5"/>
  <c r="L23" i="6"/>
  <c r="M22" i="6"/>
  <c r="L35" i="6"/>
  <c r="M34" i="6"/>
  <c r="AG76" i="1"/>
  <c r="AF77" i="1"/>
  <c r="L21" i="5"/>
  <c r="M20" i="5"/>
  <c r="AG62" i="5"/>
  <c r="AF63" i="5"/>
  <c r="R33" i="1"/>
  <c r="Q34" i="1"/>
  <c r="AF21" i="6"/>
  <c r="AG20" i="6"/>
  <c r="AA7" i="1"/>
  <c r="AB6" i="1"/>
  <c r="Q37" i="6"/>
  <c r="R36" i="6"/>
  <c r="AB5" i="6"/>
  <c r="AA6" i="6"/>
  <c r="Q8" i="4"/>
  <c r="R7" i="4"/>
  <c r="L8" i="5"/>
  <c r="M7" i="5"/>
  <c r="L7" i="6"/>
  <c r="M6" i="6"/>
  <c r="AA50" i="6"/>
  <c r="AB49" i="6"/>
  <c r="AG62" i="6"/>
  <c r="AF63" i="6"/>
  <c r="AA36" i="5"/>
  <c r="AB35" i="5"/>
  <c r="AF22" i="4"/>
  <c r="AG21" i="4"/>
  <c r="AF6" i="6"/>
  <c r="AG5" i="6"/>
  <c r="AF36" i="5"/>
  <c r="AG35" i="5"/>
  <c r="L21" i="1"/>
  <c r="M20" i="1"/>
  <c r="M51" i="5"/>
  <c r="L52" i="5"/>
  <c r="AA8" i="5"/>
  <c r="AB7" i="5"/>
  <c r="V9" i="4"/>
  <c r="W8" i="4"/>
  <c r="Q8" i="5"/>
  <c r="R7" i="5"/>
  <c r="AF7" i="4"/>
  <c r="AG6" i="4"/>
  <c r="L21" i="4"/>
  <c r="M20" i="4"/>
  <c r="W49" i="4"/>
  <c r="V50" i="4"/>
  <c r="AG51" i="5"/>
  <c r="AF52" i="5"/>
  <c r="AG48" i="1"/>
  <c r="AF49" i="1"/>
  <c r="V50" i="6"/>
  <c r="W49" i="6"/>
  <c r="AG78" i="6"/>
  <c r="AF79" i="6"/>
  <c r="L36" i="1"/>
  <c r="M35" i="1"/>
  <c r="W35" i="4"/>
  <c r="V36" i="4"/>
  <c r="AA49" i="1"/>
  <c r="AB48" i="1"/>
  <c r="L35" i="4"/>
  <c r="M34" i="4"/>
  <c r="L50" i="1"/>
  <c r="M49" i="1"/>
  <c r="AF35" i="6"/>
  <c r="AG34" i="6"/>
  <c r="R36" i="5"/>
  <c r="Q37" i="5"/>
  <c r="AF22" i="1"/>
  <c r="AG21" i="1"/>
  <c r="AA35" i="1"/>
  <c r="AB34" i="1"/>
  <c r="W49" i="5"/>
  <c r="V50" i="5"/>
  <c r="Q8" i="1"/>
  <c r="R7" i="1"/>
  <c r="Q49" i="4"/>
  <c r="R48" i="4"/>
  <c r="AB48" i="4"/>
  <c r="AA49" i="4"/>
  <c r="L49" i="6"/>
  <c r="M48" i="6"/>
  <c r="L8" i="4"/>
  <c r="M7" i="4"/>
  <c r="AF35" i="4"/>
  <c r="AG34" i="4"/>
  <c r="L35" i="5"/>
  <c r="M34" i="5"/>
  <c r="L6" i="1"/>
  <c r="M5" i="1"/>
  <c r="AG76" i="5"/>
  <c r="AF77" i="5"/>
  <c r="AF8" i="5"/>
  <c r="AG7" i="5"/>
  <c r="AA8" i="4"/>
  <c r="AB7" i="4"/>
  <c r="AA36" i="6"/>
  <c r="AB35" i="6"/>
  <c r="AA50" i="5"/>
  <c r="AB49" i="5"/>
  <c r="AG77" i="4"/>
  <c r="AF78" i="4"/>
  <c r="V36" i="1"/>
  <c r="W35" i="1"/>
  <c r="AB62" i="6"/>
  <c r="AA63" i="6"/>
  <c r="V50" i="1"/>
  <c r="W49" i="1"/>
  <c r="AA36" i="4"/>
  <c r="AB35" i="4"/>
  <c r="R47" i="1"/>
  <c r="Q48" i="1"/>
  <c r="Q51" i="6"/>
  <c r="R50" i="6"/>
  <c r="AF22" i="5"/>
  <c r="AG21" i="5"/>
  <c r="W8" i="6"/>
  <c r="V9" i="6"/>
  <c r="R36" i="4"/>
  <c r="Q37" i="4"/>
  <c r="AA77" i="1" l="1"/>
  <c r="AB76" i="1"/>
  <c r="AG6" i="1"/>
  <c r="AF7" i="1"/>
  <c r="AF35" i="1"/>
  <c r="AG34" i="1"/>
  <c r="V9" i="1"/>
  <c r="W8" i="1"/>
  <c r="L50" i="4"/>
  <c r="M49" i="4"/>
  <c r="Q49" i="1"/>
  <c r="R48" i="1"/>
  <c r="M23" i="6"/>
  <c r="L24" i="6"/>
  <c r="Q35" i="1"/>
  <c r="R34" i="1"/>
  <c r="V37" i="5"/>
  <c r="W36" i="5"/>
  <c r="AA37" i="4"/>
  <c r="AB36" i="4"/>
  <c r="AA37" i="6"/>
  <c r="AB36" i="6"/>
  <c r="AF36" i="4"/>
  <c r="AG35" i="4"/>
  <c r="L36" i="4"/>
  <c r="M35" i="4"/>
  <c r="W9" i="4"/>
  <c r="V10" i="4"/>
  <c r="AG22" i="4"/>
  <c r="AF23" i="4"/>
  <c r="R8" i="4"/>
  <c r="Q9" i="4"/>
  <c r="AF7" i="6"/>
  <c r="AG6" i="6"/>
  <c r="AF53" i="5"/>
  <c r="AG52" i="5"/>
  <c r="AB6" i="6"/>
  <c r="AA7" i="6"/>
  <c r="AG63" i="5"/>
  <c r="AF64" i="5"/>
  <c r="Q9" i="6"/>
  <c r="R8" i="6"/>
  <c r="Q52" i="5"/>
  <c r="R51" i="5"/>
  <c r="R8" i="1"/>
  <c r="Q9" i="1"/>
  <c r="AB49" i="1"/>
  <c r="AA50" i="1"/>
  <c r="V51" i="6"/>
  <c r="W50" i="6"/>
  <c r="V51" i="5"/>
  <c r="W50" i="5"/>
  <c r="AB35" i="1"/>
  <c r="AA36" i="1"/>
  <c r="W50" i="4"/>
  <c r="V51" i="4"/>
  <c r="L53" i="5"/>
  <c r="M52" i="5"/>
  <c r="AG63" i="6"/>
  <c r="AF64" i="6"/>
  <c r="L51" i="1"/>
  <c r="M50" i="1"/>
  <c r="AF22" i="6"/>
  <c r="AG21" i="6"/>
  <c r="AB63" i="6"/>
  <c r="AA64" i="6"/>
  <c r="AG22" i="5"/>
  <c r="AF23" i="5"/>
  <c r="L50" i="6"/>
  <c r="M49" i="6"/>
  <c r="AF23" i="1"/>
  <c r="AG22" i="1"/>
  <c r="L22" i="5"/>
  <c r="M21" i="5"/>
  <c r="V37" i="6"/>
  <c r="W36" i="6"/>
  <c r="AF64" i="4"/>
  <c r="AG63" i="4"/>
  <c r="AA51" i="5"/>
  <c r="AB50" i="5"/>
  <c r="L36" i="5"/>
  <c r="M35" i="5"/>
  <c r="M8" i="5"/>
  <c r="L9" i="5"/>
  <c r="V10" i="6"/>
  <c r="W9" i="6"/>
  <c r="AB8" i="4"/>
  <c r="AA9" i="4"/>
  <c r="AB8" i="5"/>
  <c r="AA9" i="5"/>
  <c r="Q38" i="5"/>
  <c r="R37" i="5"/>
  <c r="AG77" i="1"/>
  <c r="AF78" i="1"/>
  <c r="AF65" i="1"/>
  <c r="AG64" i="1"/>
  <c r="AA37" i="5"/>
  <c r="AB36" i="5"/>
  <c r="AG8" i="5"/>
  <c r="AF9" i="5"/>
  <c r="L37" i="1"/>
  <c r="M36" i="1"/>
  <c r="M21" i="1"/>
  <c r="L22" i="1"/>
  <c r="AA51" i="6"/>
  <c r="AB50" i="6"/>
  <c r="Q38" i="6"/>
  <c r="R37" i="6"/>
  <c r="W7" i="5"/>
  <c r="V8" i="5"/>
  <c r="Q38" i="4"/>
  <c r="R37" i="4"/>
  <c r="AF50" i="1"/>
  <c r="AG49" i="1"/>
  <c r="W50" i="1"/>
  <c r="V51" i="1"/>
  <c r="M8" i="4"/>
  <c r="L9" i="4"/>
  <c r="V37" i="4"/>
  <c r="W36" i="4"/>
  <c r="AB49" i="4"/>
  <c r="AA50" i="4"/>
  <c r="W36" i="1"/>
  <c r="V37" i="1"/>
  <c r="L22" i="4"/>
  <c r="M21" i="4"/>
  <c r="AG78" i="4"/>
  <c r="AF79" i="4"/>
  <c r="AG79" i="6"/>
  <c r="AF80" i="6"/>
  <c r="R8" i="5"/>
  <c r="Q9" i="5"/>
  <c r="AF78" i="5"/>
  <c r="AG77" i="5"/>
  <c r="Q52" i="6"/>
  <c r="R51" i="6"/>
  <c r="M6" i="1"/>
  <c r="L7" i="1"/>
  <c r="Q50" i="4"/>
  <c r="R49" i="4"/>
  <c r="AF36" i="6"/>
  <c r="AG35" i="6"/>
  <c r="AF8" i="4"/>
  <c r="AG7" i="4"/>
  <c r="AF37" i="5"/>
  <c r="AG36" i="5"/>
  <c r="L8" i="6"/>
  <c r="M7" i="6"/>
  <c r="AB7" i="1"/>
  <c r="AA8" i="1"/>
  <c r="L36" i="6"/>
  <c r="M35" i="6"/>
  <c r="AF50" i="6"/>
  <c r="AG49" i="6"/>
  <c r="AF51" i="4"/>
  <c r="AG50" i="4"/>
  <c r="AA78" i="1" l="1"/>
  <c r="AB77" i="1"/>
  <c r="AG7" i="1"/>
  <c r="AF8" i="1"/>
  <c r="AF36" i="1"/>
  <c r="AG35" i="1"/>
  <c r="AG37" i="5"/>
  <c r="AF38" i="5"/>
  <c r="Q10" i="5"/>
  <c r="R9" i="5"/>
  <c r="AG64" i="5"/>
  <c r="AF65" i="5"/>
  <c r="M22" i="5"/>
  <c r="L23" i="5"/>
  <c r="AG22" i="6"/>
  <c r="AF23" i="6"/>
  <c r="V52" i="5"/>
  <c r="W51" i="5"/>
  <c r="Q36" i="1"/>
  <c r="R35" i="1"/>
  <c r="AB7" i="6"/>
  <c r="AA8" i="6"/>
  <c r="M24" i="6"/>
  <c r="L25" i="6"/>
  <c r="AF10" i="5"/>
  <c r="AG9" i="5"/>
  <c r="Q10" i="6"/>
  <c r="R9" i="6"/>
  <c r="AG8" i="4"/>
  <c r="AF9" i="4"/>
  <c r="AA38" i="5"/>
  <c r="AB37" i="5"/>
  <c r="AG36" i="6"/>
  <c r="AF37" i="6"/>
  <c r="AF66" i="1"/>
  <c r="AG65" i="1"/>
  <c r="L52" i="1"/>
  <c r="M51" i="1"/>
  <c r="V52" i="6"/>
  <c r="W51" i="6"/>
  <c r="L37" i="4"/>
  <c r="M36" i="4"/>
  <c r="V38" i="4"/>
  <c r="W37" i="4"/>
  <c r="AG50" i="6"/>
  <c r="AF51" i="6"/>
  <c r="AG78" i="1"/>
  <c r="AF79" i="1"/>
  <c r="AG64" i="6"/>
  <c r="AF65" i="6"/>
  <c r="AA51" i="1"/>
  <c r="AB50" i="1"/>
  <c r="AA10" i="4"/>
  <c r="AB9" i="4"/>
  <c r="AG78" i="5"/>
  <c r="AF79" i="5"/>
  <c r="W10" i="6"/>
  <c r="V11" i="6"/>
  <c r="L10" i="4"/>
  <c r="M9" i="4"/>
  <c r="AF54" i="5"/>
  <c r="AG53" i="5"/>
  <c r="AF37" i="4"/>
  <c r="AG36" i="4"/>
  <c r="Q50" i="1"/>
  <c r="R49" i="1"/>
  <c r="AB64" i="6"/>
  <c r="AA65" i="6"/>
  <c r="AG51" i="4"/>
  <c r="AF52" i="4"/>
  <c r="AG80" i="6"/>
  <c r="AF81" i="6"/>
  <c r="AA9" i="1"/>
  <c r="AB8" i="1"/>
  <c r="Q10" i="1"/>
  <c r="R9" i="1"/>
  <c r="AA37" i="1"/>
  <c r="AB36" i="1"/>
  <c r="V38" i="6"/>
  <c r="W37" i="6"/>
  <c r="V11" i="4"/>
  <c r="W10" i="4"/>
  <c r="Q39" i="6"/>
  <c r="R38" i="6"/>
  <c r="L10" i="5"/>
  <c r="M9" i="5"/>
  <c r="M22" i="1"/>
  <c r="L23" i="1"/>
  <c r="AG23" i="1"/>
  <c r="AF24" i="1"/>
  <c r="AF51" i="1"/>
  <c r="AG50" i="1"/>
  <c r="L38" i="1"/>
  <c r="M37" i="1"/>
  <c r="Q39" i="5"/>
  <c r="R38" i="5"/>
  <c r="AA52" i="5"/>
  <c r="AB51" i="5"/>
  <c r="M50" i="6"/>
  <c r="L51" i="6"/>
  <c r="L54" i="5"/>
  <c r="M53" i="5"/>
  <c r="AF8" i="6"/>
  <c r="AG7" i="6"/>
  <c r="AB37" i="6"/>
  <c r="AA38" i="6"/>
  <c r="L51" i="4"/>
  <c r="M50" i="4"/>
  <c r="V9" i="5"/>
  <c r="W8" i="5"/>
  <c r="AF24" i="4"/>
  <c r="AG23" i="4"/>
  <c r="AB51" i="6"/>
  <c r="AA52" i="6"/>
  <c r="V52" i="1"/>
  <c r="W51" i="1"/>
  <c r="M36" i="6"/>
  <c r="L37" i="6"/>
  <c r="M7" i="1"/>
  <c r="L8" i="1"/>
  <c r="AF24" i="5"/>
  <c r="AG23" i="5"/>
  <c r="V52" i="4"/>
  <c r="W51" i="4"/>
  <c r="Q10" i="4"/>
  <c r="R9" i="4"/>
  <c r="AA51" i="4"/>
  <c r="AB50" i="4"/>
  <c r="V38" i="5"/>
  <c r="W37" i="5"/>
  <c r="AF80" i="4"/>
  <c r="AG79" i="4"/>
  <c r="R50" i="4"/>
  <c r="Q51" i="4"/>
  <c r="L37" i="5"/>
  <c r="M36" i="5"/>
  <c r="M22" i="4"/>
  <c r="L23" i="4"/>
  <c r="V38" i="1"/>
  <c r="W37" i="1"/>
  <c r="AA10" i="5"/>
  <c r="AB9" i="5"/>
  <c r="L9" i="6"/>
  <c r="M8" i="6"/>
  <c r="Q53" i="6"/>
  <c r="R52" i="6"/>
  <c r="Q39" i="4"/>
  <c r="R38" i="4"/>
  <c r="AG64" i="4"/>
  <c r="AF65" i="4"/>
  <c r="Q53" i="5"/>
  <c r="R52" i="5"/>
  <c r="AA38" i="4"/>
  <c r="AB37" i="4"/>
  <c r="V10" i="1"/>
  <c r="W9" i="1"/>
  <c r="AA79" i="1" l="1"/>
  <c r="AB78" i="1"/>
  <c r="AF9" i="1"/>
  <c r="AG8" i="1"/>
  <c r="AF37" i="1"/>
  <c r="AG36" i="1"/>
  <c r="M37" i="5"/>
  <c r="L38" i="5"/>
  <c r="R51" i="4"/>
  <c r="Q52" i="4"/>
  <c r="Q11" i="1"/>
  <c r="R10" i="1"/>
  <c r="AG37" i="4"/>
  <c r="AF38" i="4"/>
  <c r="AA52" i="1"/>
  <c r="AB51" i="1"/>
  <c r="W52" i="6"/>
  <c r="V53" i="6"/>
  <c r="Q11" i="6"/>
  <c r="R10" i="6"/>
  <c r="AG65" i="6"/>
  <c r="AF66" i="6"/>
  <c r="M23" i="5"/>
  <c r="L24" i="5"/>
  <c r="AA38" i="1"/>
  <c r="AB37" i="1"/>
  <c r="AA11" i="4"/>
  <c r="AB10" i="4"/>
  <c r="V53" i="5"/>
  <c r="W52" i="5"/>
  <c r="AG23" i="6"/>
  <c r="AF24" i="6"/>
  <c r="AG24" i="4"/>
  <c r="AF25" i="4"/>
  <c r="AG24" i="5"/>
  <c r="AF25" i="5"/>
  <c r="AF55" i="5"/>
  <c r="AG55" i="5" s="1"/>
  <c r="AG54" i="5"/>
  <c r="M52" i="1"/>
  <c r="L53" i="1"/>
  <c r="AF11" i="5"/>
  <c r="AG10" i="5"/>
  <c r="L52" i="6"/>
  <c r="M51" i="6"/>
  <c r="V53" i="4"/>
  <c r="W52" i="4"/>
  <c r="AF81" i="4"/>
  <c r="AG80" i="4"/>
  <c r="AG79" i="1"/>
  <c r="AF80" i="1"/>
  <c r="M25" i="6"/>
  <c r="L26" i="6"/>
  <c r="AG65" i="5"/>
  <c r="AF66" i="5"/>
  <c r="W9" i="5"/>
  <c r="V10" i="5"/>
  <c r="AA10" i="1"/>
  <c r="AB9" i="1"/>
  <c r="AA11" i="5"/>
  <c r="AB10" i="5"/>
  <c r="M51" i="4"/>
  <c r="L52" i="4"/>
  <c r="Q40" i="5"/>
  <c r="R39" i="5"/>
  <c r="R39" i="6"/>
  <c r="Q40" i="6"/>
  <c r="L11" i="4"/>
  <c r="M10" i="4"/>
  <c r="AF67" i="1"/>
  <c r="AG66" i="1"/>
  <c r="AG24" i="1"/>
  <c r="AF25" i="1"/>
  <c r="M23" i="1"/>
  <c r="L24" i="1"/>
  <c r="M8" i="1"/>
  <c r="L9" i="1"/>
  <c r="AG65" i="4"/>
  <c r="AF66" i="4"/>
  <c r="AG52" i="4"/>
  <c r="AF53" i="4"/>
  <c r="V12" i="6"/>
  <c r="W11" i="6"/>
  <c r="AF52" i="6"/>
  <c r="AG51" i="6"/>
  <c r="AF38" i="6"/>
  <c r="AG37" i="6"/>
  <c r="AB8" i="6"/>
  <c r="AA9" i="6"/>
  <c r="L55" i="5"/>
  <c r="M55" i="5" s="1"/>
  <c r="M54" i="5"/>
  <c r="R53" i="6"/>
  <c r="Q54" i="6"/>
  <c r="AB38" i="4"/>
  <c r="AA39" i="4"/>
  <c r="L38" i="6"/>
  <c r="M37" i="6"/>
  <c r="V39" i="5"/>
  <c r="W38" i="5"/>
  <c r="V12" i="4"/>
  <c r="W11" i="4"/>
  <c r="R10" i="5"/>
  <c r="Q11" i="5"/>
  <c r="AA53" i="6"/>
  <c r="AB52" i="6"/>
  <c r="AF10" i="4"/>
  <c r="AG9" i="4"/>
  <c r="Q40" i="4"/>
  <c r="R39" i="4"/>
  <c r="M37" i="4"/>
  <c r="L38" i="4"/>
  <c r="V11" i="1"/>
  <c r="W10" i="1"/>
  <c r="AB52" i="5"/>
  <c r="AA53" i="5"/>
  <c r="AG81" i="6"/>
  <c r="AF82" i="6"/>
  <c r="AA39" i="6"/>
  <c r="AB38" i="6"/>
  <c r="V39" i="1"/>
  <c r="W38" i="1"/>
  <c r="M38" i="1"/>
  <c r="L39" i="1"/>
  <c r="M23" i="4"/>
  <c r="L24" i="4"/>
  <c r="AB65" i="6"/>
  <c r="AA66" i="6"/>
  <c r="AG79" i="5"/>
  <c r="AF80" i="5"/>
  <c r="AF39" i="5"/>
  <c r="AG38" i="5"/>
  <c r="R10" i="4"/>
  <c r="Q11" i="4"/>
  <c r="Q51" i="1"/>
  <c r="R50" i="1"/>
  <c r="L10" i="6"/>
  <c r="M9" i="6"/>
  <c r="L11" i="5"/>
  <c r="M10" i="5"/>
  <c r="Q54" i="5"/>
  <c r="R53" i="5"/>
  <c r="AA52" i="4"/>
  <c r="AB51" i="4"/>
  <c r="V53" i="1"/>
  <c r="W52" i="1"/>
  <c r="AF9" i="6"/>
  <c r="AG8" i="6"/>
  <c r="AF52" i="1"/>
  <c r="AG51" i="1"/>
  <c r="W38" i="6"/>
  <c r="V39" i="6"/>
  <c r="V39" i="4"/>
  <c r="W38" i="4"/>
  <c r="AB38" i="5"/>
  <c r="AA39" i="5"/>
  <c r="Q37" i="1"/>
  <c r="R36" i="1"/>
  <c r="AA80" i="1" l="1"/>
  <c r="AB79" i="1"/>
  <c r="AF10" i="1"/>
  <c r="AG9" i="1"/>
  <c r="AF38" i="1"/>
  <c r="AG37" i="1"/>
  <c r="M24" i="4"/>
  <c r="L25" i="4"/>
  <c r="W53" i="5"/>
  <c r="V54" i="5"/>
  <c r="AA53" i="1"/>
  <c r="AB52" i="1"/>
  <c r="R40" i="5"/>
  <c r="Q41" i="5"/>
  <c r="R41" i="5" s="1"/>
  <c r="M52" i="4"/>
  <c r="L53" i="4"/>
  <c r="AG25" i="1"/>
  <c r="AF26" i="1"/>
  <c r="AG80" i="1"/>
  <c r="AF81" i="1"/>
  <c r="AF39" i="4"/>
  <c r="AG38" i="4"/>
  <c r="AF10" i="6"/>
  <c r="AG9" i="6"/>
  <c r="V13" i="4"/>
  <c r="W13" i="4" s="1"/>
  <c r="W12" i="4"/>
  <c r="L40" i="1"/>
  <c r="M39" i="1"/>
  <c r="AA12" i="5"/>
  <c r="AB11" i="5"/>
  <c r="AA39" i="1"/>
  <c r="AB38" i="1"/>
  <c r="M26" i="6"/>
  <c r="L27" i="6"/>
  <c r="M27" i="6" s="1"/>
  <c r="AB52" i="4"/>
  <c r="AA53" i="4"/>
  <c r="AF26" i="5"/>
  <c r="AG25" i="5"/>
  <c r="M24" i="5"/>
  <c r="L25" i="5"/>
  <c r="AB9" i="6"/>
  <c r="AA10" i="6"/>
  <c r="L11" i="6"/>
  <c r="M10" i="6"/>
  <c r="AF40" i="5"/>
  <c r="AG39" i="5"/>
  <c r="AA40" i="6"/>
  <c r="AB39" i="6"/>
  <c r="AF11" i="4"/>
  <c r="AG10" i="4"/>
  <c r="V13" i="6"/>
  <c r="W13" i="6" s="1"/>
  <c r="W12" i="6"/>
  <c r="AG67" i="1"/>
  <c r="AF68" i="1"/>
  <c r="AF82" i="4"/>
  <c r="AG81" i="4"/>
  <c r="Q12" i="1"/>
  <c r="R11" i="1"/>
  <c r="W11" i="1"/>
  <c r="V12" i="1"/>
  <c r="L39" i="4"/>
  <c r="M38" i="4"/>
  <c r="R51" i="1"/>
  <c r="Q52" i="1"/>
  <c r="AF39" i="6"/>
  <c r="AG38" i="6"/>
  <c r="V40" i="1"/>
  <c r="W39" i="1"/>
  <c r="AA40" i="4"/>
  <c r="AB39" i="4"/>
  <c r="AF26" i="4"/>
  <c r="AG25" i="4"/>
  <c r="AG66" i="6"/>
  <c r="AF67" i="6"/>
  <c r="Q53" i="4"/>
  <c r="R52" i="4"/>
  <c r="AG66" i="5"/>
  <c r="AF67" i="5"/>
  <c r="M24" i="1"/>
  <c r="L25" i="1"/>
  <c r="W39" i="5"/>
  <c r="V40" i="5"/>
  <c r="AA12" i="4"/>
  <c r="AB11" i="4"/>
  <c r="AF83" i="6"/>
  <c r="AG83" i="6" s="1"/>
  <c r="AG82" i="6"/>
  <c r="AA54" i="6"/>
  <c r="AB53" i="6"/>
  <c r="AB10" i="1"/>
  <c r="AA11" i="1"/>
  <c r="W53" i="4"/>
  <c r="V54" i="4"/>
  <c r="L10" i="1"/>
  <c r="M9" i="1"/>
  <c r="AG11" i="5"/>
  <c r="AF12" i="5"/>
  <c r="L54" i="1"/>
  <c r="M53" i="1"/>
  <c r="R37" i="1"/>
  <c r="Q38" i="1"/>
  <c r="AA40" i="5"/>
  <c r="AB39" i="5"/>
  <c r="L39" i="6"/>
  <c r="M38" i="6"/>
  <c r="W39" i="4"/>
  <c r="V40" i="4"/>
  <c r="V40" i="6"/>
  <c r="W39" i="6"/>
  <c r="Q55" i="6"/>
  <c r="R55" i="6" s="1"/>
  <c r="R54" i="6"/>
  <c r="R54" i="5"/>
  <c r="Q55" i="5"/>
  <c r="R55" i="5" s="1"/>
  <c r="AB66" i="6"/>
  <c r="AA67" i="6"/>
  <c r="AA54" i="5"/>
  <c r="AB53" i="5"/>
  <c r="Q12" i="5"/>
  <c r="R11" i="5"/>
  <c r="AG66" i="4"/>
  <c r="AF67" i="4"/>
  <c r="Q41" i="6"/>
  <c r="R41" i="6" s="1"/>
  <c r="R40" i="6"/>
  <c r="V11" i="5"/>
  <c r="W10" i="5"/>
  <c r="AG24" i="6"/>
  <c r="AF25" i="6"/>
  <c r="L39" i="5"/>
  <c r="M38" i="5"/>
  <c r="V54" i="6"/>
  <c r="W53" i="6"/>
  <c r="W53" i="1"/>
  <c r="V54" i="1"/>
  <c r="Q12" i="4"/>
  <c r="R11" i="4"/>
  <c r="R40" i="4"/>
  <c r="Q41" i="4"/>
  <c r="R41" i="4" s="1"/>
  <c r="AF53" i="6"/>
  <c r="AG52" i="6"/>
  <c r="AG80" i="5"/>
  <c r="AF81" i="5"/>
  <c r="AF54" i="4"/>
  <c r="AG53" i="4"/>
  <c r="M11" i="4"/>
  <c r="L12" i="4"/>
  <c r="AF53" i="1"/>
  <c r="AG52" i="1"/>
  <c r="M11" i="5"/>
  <c r="L12" i="5"/>
  <c r="L53" i="6"/>
  <c r="M52" i="6"/>
  <c r="R11" i="6"/>
  <c r="Q12" i="6"/>
  <c r="AA81" i="1" l="1"/>
  <c r="AB80" i="1"/>
  <c r="AF11" i="1"/>
  <c r="AG10" i="1"/>
  <c r="AF39" i="1"/>
  <c r="AG38" i="1"/>
  <c r="Q39" i="1"/>
  <c r="R38" i="1"/>
  <c r="AA11" i="6"/>
  <c r="AB10" i="6"/>
  <c r="W54" i="1"/>
  <c r="V55" i="1"/>
  <c r="W55" i="1" s="1"/>
  <c r="V41" i="6"/>
  <c r="W41" i="6" s="1"/>
  <c r="W40" i="6"/>
  <c r="L40" i="4"/>
  <c r="M39" i="4"/>
  <c r="L41" i="1"/>
  <c r="M41" i="1" s="1"/>
  <c r="M40" i="1"/>
  <c r="Q53" i="1"/>
  <c r="R52" i="1"/>
  <c r="AG26" i="1"/>
  <c r="AF27" i="1"/>
  <c r="AG27" i="1" s="1"/>
  <c r="AF54" i="1"/>
  <c r="AG53" i="1"/>
  <c r="L54" i="4"/>
  <c r="M53" i="4"/>
  <c r="AG11" i="4"/>
  <c r="AF12" i="4"/>
  <c r="AG26" i="5"/>
  <c r="AF27" i="5"/>
  <c r="AG27" i="5" s="1"/>
  <c r="AA55" i="6"/>
  <c r="AB55" i="6" s="1"/>
  <c r="AB54" i="6"/>
  <c r="AG67" i="4"/>
  <c r="AF68" i="4"/>
  <c r="V41" i="4"/>
  <c r="W41" i="4" s="1"/>
  <c r="W40" i="4"/>
  <c r="AB12" i="4"/>
  <c r="AA13" i="4"/>
  <c r="AB13" i="4" s="1"/>
  <c r="AB53" i="4"/>
  <c r="AA54" i="4"/>
  <c r="L13" i="4"/>
  <c r="M13" i="4" s="1"/>
  <c r="M12" i="4"/>
  <c r="M25" i="5"/>
  <c r="L26" i="5"/>
  <c r="V13" i="1"/>
  <c r="W13" i="1" s="1"/>
  <c r="W12" i="1"/>
  <c r="AA55" i="5"/>
  <c r="AB55" i="5" s="1"/>
  <c r="AB54" i="5"/>
  <c r="AF11" i="6"/>
  <c r="AG10" i="6"/>
  <c r="AB53" i="1"/>
  <c r="AA54" i="1"/>
  <c r="AB12" i="5"/>
  <c r="AA13" i="5"/>
  <c r="AB13" i="5" s="1"/>
  <c r="AG67" i="6"/>
  <c r="AF68" i="6"/>
  <c r="L11" i="1"/>
  <c r="M10" i="1"/>
  <c r="V55" i="5"/>
  <c r="W55" i="5" s="1"/>
  <c r="W54" i="5"/>
  <c r="AG68" i="1"/>
  <c r="AF69" i="1"/>
  <c r="AG69" i="1" s="1"/>
  <c r="Q13" i="4"/>
  <c r="R13" i="4" s="1"/>
  <c r="R12" i="4"/>
  <c r="AF55" i="4"/>
  <c r="AG55" i="4" s="1"/>
  <c r="AG54" i="4"/>
  <c r="AA41" i="6"/>
  <c r="AB41" i="6" s="1"/>
  <c r="AB40" i="6"/>
  <c r="L54" i="6"/>
  <c r="M53" i="6"/>
  <c r="AG82" i="4"/>
  <c r="AF83" i="4"/>
  <c r="AG83" i="4" s="1"/>
  <c r="AF40" i="4"/>
  <c r="AG39" i="4"/>
  <c r="Q54" i="4"/>
  <c r="R53" i="4"/>
  <c r="M54" i="1"/>
  <c r="L55" i="1"/>
  <c r="M55" i="1" s="1"/>
  <c r="Q13" i="5"/>
  <c r="R13" i="5" s="1"/>
  <c r="R12" i="5"/>
  <c r="Q13" i="6"/>
  <c r="R13" i="6" s="1"/>
  <c r="R12" i="6"/>
  <c r="L40" i="5"/>
  <c r="M39" i="5"/>
  <c r="AA41" i="4"/>
  <c r="AB41" i="4" s="1"/>
  <c r="AB40" i="4"/>
  <c r="AB67" i="6"/>
  <c r="AA68" i="6"/>
  <c r="V55" i="4"/>
  <c r="W55" i="4" s="1"/>
  <c r="W54" i="4"/>
  <c r="AF54" i="6"/>
  <c r="AG53" i="6"/>
  <c r="W40" i="1"/>
  <c r="V41" i="1"/>
  <c r="W41" i="1" s="1"/>
  <c r="AB11" i="1"/>
  <c r="AA12" i="1"/>
  <c r="AF68" i="5"/>
  <c r="AG67" i="5"/>
  <c r="AF82" i="1"/>
  <c r="AG81" i="1"/>
  <c r="M25" i="4"/>
  <c r="L26" i="4"/>
  <c r="AF13" i="5"/>
  <c r="AG13" i="5" s="1"/>
  <c r="AG12" i="5"/>
  <c r="V55" i="6"/>
  <c r="W55" i="6" s="1"/>
  <c r="W54" i="6"/>
  <c r="AG26" i="4"/>
  <c r="AF27" i="4"/>
  <c r="AG27" i="4" s="1"/>
  <c r="AF82" i="5"/>
  <c r="AG81" i="5"/>
  <c r="V41" i="5"/>
  <c r="W41" i="5" s="1"/>
  <c r="W40" i="5"/>
  <c r="Q13" i="1"/>
  <c r="R13" i="1" s="1"/>
  <c r="R12" i="1"/>
  <c r="AG25" i="6"/>
  <c r="AF26" i="6"/>
  <c r="M25" i="1"/>
  <c r="L26" i="1"/>
  <c r="L40" i="6"/>
  <c r="M39" i="6"/>
  <c r="AF41" i="5"/>
  <c r="AG41" i="5" s="1"/>
  <c r="AG40" i="5"/>
  <c r="L13" i="5"/>
  <c r="M13" i="5" s="1"/>
  <c r="M12" i="5"/>
  <c r="V12" i="5"/>
  <c r="W11" i="5"/>
  <c r="AA41" i="5"/>
  <c r="AB41" i="5" s="1"/>
  <c r="AB40" i="5"/>
  <c r="AF40" i="6"/>
  <c r="AG39" i="6"/>
  <c r="L12" i="6"/>
  <c r="M11" i="6"/>
  <c r="AB39" i="1"/>
  <c r="AA40" i="1"/>
  <c r="AA82" i="1" l="1"/>
  <c r="AB81" i="1"/>
  <c r="AG11" i="1"/>
  <c r="AF12" i="1"/>
  <c r="AG39" i="1"/>
  <c r="AF40" i="1"/>
  <c r="M26" i="4"/>
  <c r="L27" i="4"/>
  <c r="M27" i="4" s="1"/>
  <c r="AA41" i="1"/>
  <c r="AB41" i="1" s="1"/>
  <c r="AB40" i="1"/>
  <c r="R54" i="4"/>
  <c r="Q55" i="4"/>
  <c r="R55" i="4" s="1"/>
  <c r="L41" i="4"/>
  <c r="M41" i="4" s="1"/>
  <c r="M40" i="4"/>
  <c r="AA55" i="4"/>
  <c r="AB55" i="4" s="1"/>
  <c r="AB54" i="4"/>
  <c r="AA55" i="1"/>
  <c r="AB55" i="1" s="1"/>
  <c r="AB54" i="1"/>
  <c r="AF12" i="6"/>
  <c r="AG11" i="6"/>
  <c r="L55" i="4"/>
  <c r="M55" i="4" s="1"/>
  <c r="M54" i="4"/>
  <c r="M12" i="6"/>
  <c r="L13" i="6"/>
  <c r="M13" i="6" s="1"/>
  <c r="AF83" i="1"/>
  <c r="AG83" i="1" s="1"/>
  <c r="AG82" i="1"/>
  <c r="L41" i="5"/>
  <c r="M41" i="5" s="1"/>
  <c r="M40" i="5"/>
  <c r="AG54" i="1"/>
  <c r="AF55" i="1"/>
  <c r="AG55" i="1" s="1"/>
  <c r="AG82" i="5"/>
  <c r="AF83" i="5"/>
  <c r="AG83" i="5" s="1"/>
  <c r="AF41" i="4"/>
  <c r="AG41" i="4" s="1"/>
  <c r="AG40" i="4"/>
  <c r="AG40" i="6"/>
  <c r="AF41" i="6"/>
  <c r="AG41" i="6" s="1"/>
  <c r="AG68" i="4"/>
  <c r="AF69" i="4"/>
  <c r="AG69" i="4" s="1"/>
  <c r="M54" i="6"/>
  <c r="L55" i="6"/>
  <c r="M55" i="6" s="1"/>
  <c r="AA12" i="6"/>
  <c r="AB11" i="6"/>
  <c r="AB68" i="6"/>
  <c r="AA69" i="6"/>
  <c r="AB69" i="6" s="1"/>
  <c r="M40" i="6"/>
  <c r="L41" i="6"/>
  <c r="M41" i="6" s="1"/>
  <c r="M26" i="1"/>
  <c r="L27" i="1"/>
  <c r="M27" i="1" s="1"/>
  <c r="AA13" i="1"/>
  <c r="AB13" i="1" s="1"/>
  <c r="AB12" i="1"/>
  <c r="AG26" i="6"/>
  <c r="AF27" i="6"/>
  <c r="AG27" i="6" s="1"/>
  <c r="L12" i="1"/>
  <c r="M11" i="1"/>
  <c r="AG68" i="6"/>
  <c r="AF69" i="6"/>
  <c r="AG69" i="6" s="1"/>
  <c r="M26" i="5"/>
  <c r="L27" i="5"/>
  <c r="M27" i="5" s="1"/>
  <c r="AF13" i="4"/>
  <c r="AG13" i="4" s="1"/>
  <c r="AG12" i="4"/>
  <c r="AF69" i="5"/>
  <c r="AG69" i="5" s="1"/>
  <c r="AG68" i="5"/>
  <c r="V13" i="5"/>
  <c r="W13" i="5" s="1"/>
  <c r="W12" i="5"/>
  <c r="AG54" i="6"/>
  <c r="AF55" i="6"/>
  <c r="AG55" i="6" s="1"/>
  <c r="R53" i="1"/>
  <c r="Q54" i="1"/>
  <c r="Q40" i="1"/>
  <c r="R39" i="1"/>
  <c r="AA83" i="1" l="1"/>
  <c r="AB83" i="1" s="1"/>
  <c r="AB82" i="1"/>
  <c r="AG12" i="1"/>
  <c r="AF13" i="1"/>
  <c r="AG13" i="1" s="1"/>
  <c r="AF41" i="1"/>
  <c r="AG41" i="1" s="1"/>
  <c r="AG40" i="1"/>
  <c r="AA13" i="6"/>
  <c r="AB13" i="6" s="1"/>
  <c r="AB12" i="6"/>
  <c r="Q41" i="1"/>
  <c r="R41" i="1" s="1"/>
  <c r="R40" i="1"/>
  <c r="L13" i="1"/>
  <c r="M13" i="1" s="1"/>
  <c r="M12" i="1"/>
  <c r="R54" i="1"/>
  <c r="Q55" i="1"/>
  <c r="R55" i="1" s="1"/>
  <c r="AG12" i="6"/>
  <c r="AF13" i="6"/>
  <c r="AG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3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3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3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4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4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4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5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5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5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sharedStrings.xml><?xml version="1.0" encoding="utf-8"?>
<sst xmlns="http://schemas.openxmlformats.org/spreadsheetml/2006/main" count="934" uniqueCount="73">
  <si>
    <t>Q1</t>
  </si>
  <si>
    <t>Q2</t>
  </si>
  <si>
    <t>Q3</t>
  </si>
  <si>
    <t>Q4</t>
  </si>
  <si>
    <t>FY (200%)</t>
  </si>
  <si>
    <t>Targets</t>
  </si>
  <si>
    <t>KPI 1</t>
  </si>
  <si>
    <t>NSV Total</t>
  </si>
  <si>
    <t>NSV Abs, bn</t>
  </si>
  <si>
    <t>Performance</t>
  </si>
  <si>
    <t>Bonus</t>
  </si>
  <si>
    <t>Payout</t>
  </si>
  <si>
    <t>KPI 2</t>
  </si>
  <si>
    <t>NSV Team</t>
  </si>
  <si>
    <t>KPI 3</t>
  </si>
  <si>
    <t>LSV/t Total</t>
  </si>
  <si>
    <t>KPI 4</t>
  </si>
  <si>
    <t>LSV/t Team</t>
  </si>
  <si>
    <t>KPI 5</t>
  </si>
  <si>
    <t>Earnings</t>
  </si>
  <si>
    <t>KPI 6</t>
  </si>
  <si>
    <t>Belarus</t>
  </si>
  <si>
    <t>FY (100%)</t>
  </si>
  <si>
    <t>Add bonus</t>
  </si>
  <si>
    <t>Total</t>
  </si>
  <si>
    <t>LSV/t</t>
  </si>
  <si>
    <t>Q1'26</t>
  </si>
  <si>
    <t>marketplace</t>
  </si>
  <si>
    <t>LSV base</t>
  </si>
  <si>
    <t>LSV comp</t>
  </si>
  <si>
    <t>LSV/t base</t>
  </si>
  <si>
    <t>LSV/t comp</t>
  </si>
  <si>
    <t>NSV base</t>
  </si>
  <si>
    <t>NSV comp</t>
  </si>
  <si>
    <t>TNS base</t>
  </si>
  <si>
    <t>TNS comp</t>
  </si>
  <si>
    <t>Perf NSV</t>
  </si>
  <si>
    <t>Perf LSV/t</t>
  </si>
  <si>
    <t>North</t>
  </si>
  <si>
    <t>Moscow</t>
  </si>
  <si>
    <t>South</t>
  </si>
  <si>
    <t>Center</t>
  </si>
  <si>
    <t>Siberia</t>
  </si>
  <si>
    <t>Far East</t>
  </si>
  <si>
    <t>LAR</t>
  </si>
  <si>
    <t>D-Com</t>
  </si>
  <si>
    <t>Любимчик 2.0</t>
  </si>
  <si>
    <t>Total PN</t>
  </si>
  <si>
    <t>X5</t>
  </si>
  <si>
    <t>Magnit &amp; Dixy</t>
  </si>
  <si>
    <t>Lenta</t>
  </si>
  <si>
    <t>HMs</t>
  </si>
  <si>
    <t>OMNI</t>
  </si>
  <si>
    <t>Q2'26</t>
  </si>
  <si>
    <t>Q3'26</t>
  </si>
  <si>
    <t>Q4=FY'26</t>
  </si>
  <si>
    <t>Earnings plan</t>
  </si>
  <si>
    <t>Earnings fcst</t>
  </si>
  <si>
    <t>Perf Earnings</t>
  </si>
  <si>
    <t>NSV Prem+ plan</t>
  </si>
  <si>
    <t>NSV Prem+ fcst</t>
  </si>
  <si>
    <t>NSV Prem+ Earnings</t>
  </si>
  <si>
    <t>По кварталам (с учётом компенсации по итогам года)</t>
  </si>
  <si>
    <t>Годовая премия сверх плана</t>
  </si>
  <si>
    <t>FY'26</t>
  </si>
  <si>
    <t>NSV</t>
  </si>
  <si>
    <t>EARNINGS</t>
  </si>
  <si>
    <t>Marketplaces</t>
  </si>
  <si>
    <t>Account teams</t>
  </si>
  <si>
    <t>Любимчик</t>
  </si>
  <si>
    <t>NSV Prem+ Total</t>
  </si>
  <si>
    <t>Nsv Prem + Total</t>
  </si>
  <si>
    <t>Perf Nsv Prem +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</si>
</sst>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rgb="FF000000"/>
      <name val="Calibri"/>
      <family val="2"/>
    </font>
    <font>
      <sz val="12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theme="9" tint="-0.249977111117893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4"/>
      <name val="Aptos Narrow"/>
      <family val="2"/>
    </font>
    <font>
      <b/>
      <sz val="14"/>
      <color theme="5"/>
      <name val="Aptos Narrow"/>
      <family val="2"/>
      <scheme val="minor"/>
    </font>
    <font>
      <b/>
      <sz val="1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/>
    <xf numFmtId="0" fontId="1" fillId="0" borderId="0"/>
  </cellStyleXfs>
  <cellXfs count="188">
    <xf numFmtId="0" fontId="0" fillId="0" borderId="0" xfId="0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0" fontId="2" fillId="5" borderId="1" xfId="1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0" fontId="2" fillId="5" borderId="5" xfId="1" applyNumberFormat="1" applyFont="1" applyFill="1" applyBorder="1" applyAlignment="1">
      <alignment horizontal="center" vertical="center"/>
    </xf>
    <xf numFmtId="4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4" fontId="6" fillId="4" borderId="1" xfId="1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 vertical="center"/>
    </xf>
    <xf numFmtId="9" fontId="6" fillId="4" borderId="0" xfId="1" applyFont="1" applyFill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4" fontId="12" fillId="4" borderId="1" xfId="1" applyNumberFormat="1" applyFont="1" applyFill="1" applyBorder="1" applyAlignment="1">
      <alignment horizontal="center"/>
    </xf>
    <xf numFmtId="10" fontId="13" fillId="6" borderId="0" xfId="1" applyNumberFormat="1" applyFont="1" applyFill="1" applyAlignment="1">
      <alignment horizontal="center" vertical="center"/>
    </xf>
    <xf numFmtId="9" fontId="13" fillId="6" borderId="0" xfId="1" applyFont="1" applyFill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0" fontId="10" fillId="0" borderId="1" xfId="2" applyFont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/>
    <xf numFmtId="164" fontId="8" fillId="3" borderId="1" xfId="0" applyNumberFormat="1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/>
    </xf>
    <xf numFmtId="9" fontId="6" fillId="4" borderId="1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/>
    </xf>
    <xf numFmtId="10" fontId="6" fillId="4" borderId="1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9" fontId="5" fillId="3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8" fillId="0" borderId="11" xfId="0" applyFont="1" applyBorder="1" applyAlignment="1">
      <alignment vertical="center"/>
    </xf>
    <xf numFmtId="164" fontId="9" fillId="2" borderId="11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3" borderId="14" xfId="0" applyNumberFormat="1" applyFont="1" applyFill="1" applyBorder="1" applyAlignment="1">
      <alignment horizontal="center" vertical="center"/>
    </xf>
    <xf numFmtId="0" fontId="0" fillId="0" borderId="15" xfId="0" applyBorder="1"/>
    <xf numFmtId="164" fontId="0" fillId="2" borderId="2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9" fillId="3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0" fontId="11" fillId="0" borderId="18" xfId="0" applyFont="1" applyBorder="1" applyAlignment="1">
      <alignment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9" xfId="0" applyNumberForma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0" fontId="0" fillId="0" borderId="22" xfId="0" applyBorder="1"/>
    <xf numFmtId="0" fontId="11" fillId="0" borderId="22" xfId="0" applyFont="1" applyBorder="1"/>
    <xf numFmtId="164" fontId="8" fillId="3" borderId="22" xfId="0" applyNumberFormat="1" applyFont="1" applyFill="1" applyBorder="1" applyAlignment="1">
      <alignment horizontal="center"/>
    </xf>
    <xf numFmtId="164" fontId="8" fillId="3" borderId="23" xfId="0" applyNumberFormat="1" applyFont="1" applyFill="1" applyBorder="1" applyAlignment="1">
      <alignment horizontal="center"/>
    </xf>
    <xf numFmtId="164" fontId="8" fillId="7" borderId="24" xfId="0" applyNumberFormat="1" applyFont="1" applyFill="1" applyBorder="1" applyAlignment="1">
      <alignment horizontal="center"/>
    </xf>
    <xf numFmtId="164" fontId="8" fillId="7" borderId="20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0" fontId="6" fillId="5" borderId="2" xfId="1" applyNumberFormat="1" applyFont="1" applyFill="1" applyBorder="1" applyAlignment="1">
      <alignment horizontal="center" vertical="center"/>
    </xf>
    <xf numFmtId="10" fontId="6" fillId="5" borderId="4" xfId="1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/>
    </xf>
    <xf numFmtId="10" fontId="13" fillId="6" borderId="0" xfId="1" applyNumberFormat="1" applyFont="1" applyFill="1" applyAlignment="1">
      <alignment horizontal="center"/>
    </xf>
    <xf numFmtId="164" fontId="6" fillId="4" borderId="1" xfId="1" applyNumberFormat="1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0" fillId="0" borderId="13" xfId="0" applyBorder="1"/>
    <xf numFmtId="3" fontId="0" fillId="0" borderId="0" xfId="0" applyNumberFormat="1"/>
    <xf numFmtId="0" fontId="0" fillId="0" borderId="30" xfId="0" applyBorder="1"/>
    <xf numFmtId="0" fontId="0" fillId="0" borderId="31" xfId="0" applyBorder="1"/>
    <xf numFmtId="0" fontId="0" fillId="0" borderId="16" xfId="0" applyBorder="1"/>
    <xf numFmtId="0" fontId="0" fillId="0" borderId="20" xfId="0" applyBorder="1"/>
    <xf numFmtId="0" fontId="14" fillId="0" borderId="32" xfId="0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10" fontId="9" fillId="0" borderId="30" xfId="1" applyNumberFormat="1" applyFont="1" applyBorder="1" applyAlignment="1">
      <alignment vertical="center"/>
    </xf>
    <xf numFmtId="10" fontId="9" fillId="0" borderId="31" xfId="1" applyNumberFormat="1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10" fontId="0" fillId="0" borderId="30" xfId="1" applyNumberFormat="1" applyFont="1" applyBorder="1"/>
    <xf numFmtId="10" fontId="0" fillId="0" borderId="31" xfId="1" applyNumberFormat="1" applyFont="1" applyBorder="1"/>
    <xf numFmtId="3" fontId="15" fillId="0" borderId="0" xfId="0" applyNumberFormat="1" applyFont="1" applyAlignment="1">
      <alignment vertical="center"/>
    </xf>
    <xf numFmtId="10" fontId="0" fillId="0" borderId="33" xfId="1" applyNumberFormat="1" applyFont="1" applyBorder="1"/>
    <xf numFmtId="10" fontId="0" fillId="0" borderId="34" xfId="1" applyNumberFormat="1" applyFont="1" applyBorder="1"/>
    <xf numFmtId="0" fontId="9" fillId="0" borderId="35" xfId="0" applyFont="1" applyBorder="1" applyAlignment="1">
      <alignment horizontal="center"/>
    </xf>
    <xf numFmtId="3" fontId="9" fillId="0" borderId="0" xfId="0" applyNumberFormat="1" applyFont="1" applyAlignment="1">
      <alignment vertical="center"/>
    </xf>
    <xf numFmtId="0" fontId="0" fillId="0" borderId="36" xfId="0" applyBorder="1"/>
    <xf numFmtId="0" fontId="9" fillId="0" borderId="5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10" fontId="9" fillId="0" borderId="11" xfId="1" applyNumberFormat="1" applyFont="1" applyBorder="1" applyAlignment="1">
      <alignment horizontal="center"/>
    </xf>
    <xf numFmtId="164" fontId="16" fillId="0" borderId="42" xfId="1" applyNumberFormat="1" applyFont="1" applyBorder="1" applyAlignment="1">
      <alignment horizontal="center"/>
    </xf>
    <xf numFmtId="9" fontId="9" fillId="0" borderId="10" xfId="0" applyNumberFormat="1" applyFont="1" applyBorder="1" applyAlignment="1">
      <alignment horizontal="center"/>
    </xf>
    <xf numFmtId="164" fontId="9" fillId="0" borderId="42" xfId="1" applyNumberFormat="1" applyFont="1" applyBorder="1" applyAlignment="1">
      <alignment horizontal="center"/>
    </xf>
    <xf numFmtId="164" fontId="19" fillId="0" borderId="42" xfId="1" applyNumberFormat="1" applyFont="1" applyBorder="1" applyAlignment="1">
      <alignment horizontal="center"/>
    </xf>
    <xf numFmtId="10" fontId="9" fillId="0" borderId="1" xfId="1" applyNumberFormat="1" applyFont="1" applyBorder="1" applyAlignment="1">
      <alignment horizontal="center"/>
    </xf>
    <xf numFmtId="164" fontId="20" fillId="0" borderId="45" xfId="1" applyNumberFormat="1" applyFont="1" applyBorder="1" applyAlignment="1">
      <alignment horizontal="center"/>
    </xf>
    <xf numFmtId="164" fontId="16" fillId="0" borderId="45" xfId="1" applyNumberFormat="1" applyFont="1" applyBorder="1" applyAlignment="1">
      <alignment horizontal="center"/>
    </xf>
    <xf numFmtId="9" fontId="9" fillId="0" borderId="15" xfId="1" applyFont="1" applyBorder="1" applyAlignment="1">
      <alignment horizontal="center"/>
    </xf>
    <xf numFmtId="0" fontId="11" fillId="0" borderId="16" xfId="0" applyFont="1" applyBorder="1"/>
    <xf numFmtId="10" fontId="8" fillId="0" borderId="1" xfId="1" applyNumberFormat="1" applyFont="1" applyBorder="1" applyAlignment="1">
      <alignment horizontal="center"/>
    </xf>
    <xf numFmtId="164" fontId="21" fillId="0" borderId="45" xfId="1" applyNumberFormat="1" applyFont="1" applyBorder="1" applyAlignment="1">
      <alignment horizontal="center"/>
    </xf>
    <xf numFmtId="164" fontId="22" fillId="0" borderId="45" xfId="1" applyNumberFormat="1" applyFont="1" applyBorder="1" applyAlignment="1">
      <alignment horizontal="center"/>
    </xf>
    <xf numFmtId="9" fontId="8" fillId="0" borderId="15" xfId="1" applyFont="1" applyBorder="1" applyAlignment="1">
      <alignment horizontal="center"/>
    </xf>
    <xf numFmtId="164" fontId="23" fillId="0" borderId="45" xfId="1" applyNumberFormat="1" applyFont="1" applyBorder="1" applyAlignment="1">
      <alignment horizontal="center"/>
    </xf>
    <xf numFmtId="0" fontId="0" fillId="0" borderId="21" xfId="0" applyBorder="1"/>
    <xf numFmtId="10" fontId="9" fillId="0" borderId="5" xfId="1" applyNumberFormat="1" applyFont="1" applyBorder="1" applyAlignment="1">
      <alignment horizontal="center"/>
    </xf>
    <xf numFmtId="164" fontId="16" fillId="0" borderId="40" xfId="1" applyNumberFormat="1" applyFont="1" applyBorder="1" applyAlignment="1">
      <alignment horizontal="center"/>
    </xf>
    <xf numFmtId="9" fontId="9" fillId="0" borderId="41" xfId="1" applyFont="1" applyBorder="1" applyAlignment="1">
      <alignment horizontal="center"/>
    </xf>
    <xf numFmtId="0" fontId="0" fillId="0" borderId="13" xfId="0" applyBorder="1" applyAlignment="1">
      <alignment horizontal="right"/>
    </xf>
    <xf numFmtId="9" fontId="9" fillId="0" borderId="10" xfId="1" applyFon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20" xfId="0" applyBorder="1" applyAlignment="1">
      <alignment horizontal="right"/>
    </xf>
    <xf numFmtId="10" fontId="9" fillId="0" borderId="18" xfId="1" applyNumberFormat="1" applyFont="1" applyBorder="1" applyAlignment="1">
      <alignment horizontal="center"/>
    </xf>
    <xf numFmtId="164" fontId="16" fillId="0" borderId="48" xfId="1" applyNumberFormat="1" applyFont="1" applyBorder="1" applyAlignment="1">
      <alignment horizontal="center"/>
    </xf>
    <xf numFmtId="164" fontId="20" fillId="0" borderId="48" xfId="1" applyNumberFormat="1" applyFont="1" applyBorder="1" applyAlignment="1">
      <alignment horizontal="center"/>
    </xf>
    <xf numFmtId="9" fontId="19" fillId="0" borderId="17" xfId="1" applyFont="1" applyBorder="1" applyAlignment="1">
      <alignment horizontal="center"/>
    </xf>
    <xf numFmtId="0" fontId="4" fillId="0" borderId="0" xfId="0" applyFont="1"/>
    <xf numFmtId="0" fontId="24" fillId="0" borderId="24" xfId="0" applyFont="1" applyBorder="1" applyAlignment="1">
      <alignment horizontal="center" vertical="center"/>
    </xf>
    <xf numFmtId="10" fontId="17" fillId="0" borderId="49" xfId="1" applyNumberFormat="1" applyFont="1" applyBorder="1" applyAlignment="1">
      <alignment horizontal="center" vertical="center"/>
    </xf>
    <xf numFmtId="164" fontId="17" fillId="0" borderId="50" xfId="1" applyNumberFormat="1" applyFont="1" applyBorder="1" applyAlignment="1">
      <alignment horizontal="center" vertical="center"/>
    </xf>
    <xf numFmtId="10" fontId="25" fillId="0" borderId="49" xfId="1" applyNumberFormat="1" applyFont="1" applyBorder="1" applyAlignment="1">
      <alignment horizontal="center" vertical="center"/>
    </xf>
    <xf numFmtId="164" fontId="25" fillId="0" borderId="50" xfId="1" applyNumberFormat="1" applyFont="1" applyBorder="1" applyAlignment="1">
      <alignment horizontal="center" vertical="center"/>
    </xf>
    <xf numFmtId="9" fontId="18" fillId="0" borderId="51" xfId="1" applyFont="1" applyBorder="1" applyAlignment="1">
      <alignment horizontal="center" vertical="center"/>
    </xf>
    <xf numFmtId="164" fontId="18" fillId="0" borderId="50" xfId="1" applyNumberFormat="1" applyFont="1" applyBorder="1" applyAlignment="1">
      <alignment horizontal="center" vertical="center"/>
    </xf>
    <xf numFmtId="164" fontId="26" fillId="0" borderId="50" xfId="1" applyNumberFormat="1" applyFont="1" applyBorder="1" applyAlignment="1">
      <alignment horizontal="center" vertical="center"/>
    </xf>
    <xf numFmtId="0" fontId="4" fillId="9" borderId="7" xfId="0" applyFont="1" applyFill="1" applyBorder="1" applyAlignment="1">
      <alignment vertical="center"/>
    </xf>
    <xf numFmtId="10" fontId="5" fillId="0" borderId="43" xfId="1" applyNumberFormat="1" applyFont="1" applyBorder="1" applyAlignment="1">
      <alignment vertical="center"/>
    </xf>
    <xf numFmtId="10" fontId="5" fillId="0" borderId="46" xfId="1" applyNumberFormat="1" applyFont="1" applyBorder="1" applyAlignment="1">
      <alignment vertical="center"/>
    </xf>
    <xf numFmtId="164" fontId="17" fillId="0" borderId="44" xfId="1" applyNumberFormat="1" applyFont="1" applyBorder="1" applyAlignment="1">
      <alignment vertical="center"/>
    </xf>
    <xf numFmtId="164" fontId="17" fillId="0" borderId="47" xfId="1" applyNumberFormat="1" applyFont="1" applyBorder="1" applyAlignment="1">
      <alignment vertical="center"/>
    </xf>
    <xf numFmtId="10" fontId="5" fillId="0" borderId="6" xfId="1" applyNumberFormat="1" applyFont="1" applyBorder="1" applyAlignment="1">
      <alignment horizontal="center" vertical="center"/>
    </xf>
    <xf numFmtId="164" fontId="17" fillId="0" borderId="52" xfId="1" applyNumberFormat="1" applyFont="1" applyBorder="1" applyAlignment="1">
      <alignment horizontal="center" vertical="center"/>
    </xf>
    <xf numFmtId="164" fontId="0" fillId="0" borderId="0" xfId="0" applyNumberFormat="1"/>
    <xf numFmtId="0" fontId="8" fillId="0" borderId="18" xfId="0" applyFont="1" applyBorder="1" applyAlignment="1">
      <alignment vertical="center"/>
    </xf>
    <xf numFmtId="164" fontId="9" fillId="2" borderId="18" xfId="0" applyNumberFormat="1" applyFont="1" applyFill="1" applyBorder="1" applyAlignment="1">
      <alignment horizontal="center" vertical="center"/>
    </xf>
    <xf numFmtId="164" fontId="9" fillId="2" borderId="19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0" fillId="0" borderId="0" xfId="0" applyBorder="1"/>
    <xf numFmtId="10" fontId="9" fillId="0" borderId="0" xfId="1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10" fontId="11" fillId="0" borderId="1" xfId="0" applyNumberFormat="1" applyFont="1" applyBorder="1" applyAlignment="1">
      <alignment vertical="center"/>
    </xf>
    <xf numFmtId="10" fontId="0" fillId="0" borderId="0" xfId="1" applyNumberFormat="1" applyFont="1" applyBorder="1"/>
    <xf numFmtId="10" fontId="0" fillId="0" borderId="36" xfId="1" applyNumberFormat="1" applyFont="1" applyBorder="1"/>
    <xf numFmtId="0" fontId="11" fillId="0" borderId="0" xfId="0" applyFont="1" applyBorder="1" applyAlignment="1">
      <alignment vertical="center"/>
    </xf>
    <xf numFmtId="10" fontId="11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9" fillId="0" borderId="39" xfId="0" applyFont="1" applyBorder="1" applyAlignment="1">
      <alignment horizontal="center"/>
    </xf>
    <xf numFmtId="0" fontId="0" fillId="0" borderId="39" xfId="0" applyBorder="1"/>
    <xf numFmtId="0" fontId="9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textRotation="90"/>
    </xf>
    <xf numFmtId="0" fontId="0" fillId="0" borderId="32" xfId="0" applyBorder="1"/>
    <xf numFmtId="0" fontId="0" fillId="0" borderId="24" xfId="0" applyBorder="1"/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9" fontId="18" fillId="0" borderId="52" xfId="0" applyNumberFormat="1" applyFont="1" applyBorder="1" applyAlignment="1">
      <alignment horizontal="center" vertical="center"/>
    </xf>
    <xf numFmtId="0" fontId="0" fillId="0" borderId="47" xfId="0" applyBorder="1"/>
    <xf numFmtId="0" fontId="0" fillId="0" borderId="50" xfId="0" applyBorder="1"/>
    <xf numFmtId="164" fontId="18" fillId="0" borderId="6" xfId="1" applyNumberFormat="1" applyFont="1" applyBorder="1" applyAlignment="1">
      <alignment horizontal="center" vertical="center"/>
    </xf>
    <xf numFmtId="0" fontId="0" fillId="0" borderId="46" xfId="0" applyBorder="1"/>
    <xf numFmtId="0" fontId="0" fillId="0" borderId="51" xfId="0" applyBorder="1"/>
    <xf numFmtId="9" fontId="9" fillId="0" borderId="13" xfId="0" applyNumberFormat="1" applyFont="1" applyBorder="1" applyAlignment="1">
      <alignment horizontal="center"/>
    </xf>
  </cellXfs>
  <cellStyles count="3">
    <cellStyle name="Normal 2" xfId="2" xr:uid="{00000000-0005-0000-0000-000002000000}"/>
    <cellStyle name="Обычный" xfId="0" builtinId="0"/>
    <cellStyle name="Процентный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84"/>
  <sheetViews>
    <sheetView tabSelected="1" zoomScale="80" zoomScaleNormal="80" workbookViewId="0">
      <selection activeCell="G46" sqref="G46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7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>
        <v>0.05</v>
      </c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 t="s">
        <v>71</v>
      </c>
      <c r="AM8" s="36">
        <v>0</v>
      </c>
      <c r="AN8" s="36">
        <v>0</v>
      </c>
      <c r="AO8" s="36">
        <v>0</v>
      </c>
      <c r="AP8" s="36">
        <v>40.44</v>
      </c>
      <c r="AQ8" s="36">
        <v>41.79</v>
      </c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5.000000000000001E-3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1.0000000000000002E-2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1.4999999999999999E-2</v>
      </c>
    </row>
    <row r="22" spans="1:35" ht="16.149999999999999" customHeight="1" thickBot="1" x14ac:dyDescent="0.3">
      <c r="A22" s="63" t="s">
        <v>20</v>
      </c>
      <c r="B22" s="64" t="s">
        <v>71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2.0000000000000004E-2</v>
      </c>
    </row>
    <row r="23" spans="1:35" ht="16.149999999999999" customHeight="1" thickBot="1" x14ac:dyDescent="0.3">
      <c r="A23" s="69"/>
      <c r="B23" s="70"/>
      <c r="C23" s="71">
        <f>SUM(C17:C22)</f>
        <v>0.25900000000000001</v>
      </c>
      <c r="D23" s="71">
        <f t="shared" ref="D23:I23" si="30">SUM(D17:D22)</f>
        <v>0.27</v>
      </c>
      <c r="E23" s="71">
        <f t="shared" si="30"/>
        <v>0.29500000000000004</v>
      </c>
      <c r="F23" s="72">
        <f t="shared" si="30"/>
        <v>0.28500000000000003</v>
      </c>
      <c r="G23" s="73">
        <f>SUM(G17:G22)</f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2.5000000000000001E-2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0.03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3.4999999999999996E-2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4.0000000000000008E-2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4.5000000000000005E-2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0.05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 t="e">
        <f>L60/$L$60</f>
        <v>#DIV/0!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 t="e">
        <f>Q60/$Q$60</f>
        <v>#DIV/0!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 t="e">
        <f>V60/$V$60</f>
        <v>#DIV/0!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f>AA60/$AA$60</f>
        <v>1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>AF60/$AF$60</f>
        <v>1</v>
      </c>
      <c r="AH60" s="29">
        <v>0</v>
      </c>
      <c r="AI60" s="30">
        <f t="shared" ref="AI60:AI69" si="65">AI$70*AH60</f>
        <v>0</v>
      </c>
    </row>
    <row r="61" spans="12:35" x14ac:dyDescent="0.25">
      <c r="L61" s="31">
        <f t="shared" ref="L61:L69" si="66">L60+(L$70-L$60)/10</f>
        <v>0</v>
      </c>
      <c r="M61" s="79" t="e">
        <f t="shared" ref="M61:M70" si="67">L61/$L$60</f>
        <v>#DIV/0!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79" t="e">
        <f t="shared" ref="R61:R70" si="69">Q61/$Q$60</f>
        <v>#DIV/0!</v>
      </c>
      <c r="S61" s="33">
        <v>0.1</v>
      </c>
      <c r="T61" s="34">
        <f t="shared" si="62"/>
        <v>0</v>
      </c>
      <c r="V61" s="31">
        <f t="shared" ref="V61:V69" si="70">V60+(V$70-V$60)/10</f>
        <v>0</v>
      </c>
      <c r="W61" s="79" t="e">
        <f t="shared" ref="W61:W70" si="71">V61/$V$60</f>
        <v>#DIV/0!</v>
      </c>
      <c r="X61" s="33">
        <v>0.1</v>
      </c>
      <c r="Y61" s="34">
        <f t="shared" si="63"/>
        <v>0</v>
      </c>
      <c r="AA61" s="31">
        <f t="shared" ref="AA61:AA69" si="72">AA60+(AA$70-AA$60)/10</f>
        <v>36.238473699999993</v>
      </c>
      <c r="AB61" s="79">
        <f>AA61/$AA$60</f>
        <v>1.0027749229188079</v>
      </c>
      <c r="AC61" s="33">
        <v>0.1</v>
      </c>
      <c r="AD61" s="34">
        <f t="shared" si="64"/>
        <v>0</v>
      </c>
      <c r="AF61" s="31">
        <f t="shared" ref="AF61:AF69" si="73">AF60+(AF$70-AF$60)/10</f>
        <v>37.5124</v>
      </c>
      <c r="AG61" s="32">
        <f>AF61/$AF$60</f>
        <v>1.0099997307557687</v>
      </c>
      <c r="AH61" s="33">
        <v>0.1</v>
      </c>
      <c r="AI61" s="34">
        <f t="shared" si="65"/>
        <v>1.4999999999999999E-2</v>
      </c>
    </row>
    <row r="62" spans="12:35" x14ac:dyDescent="0.25">
      <c r="L62" s="31">
        <f t="shared" si="66"/>
        <v>0</v>
      </c>
      <c r="M62" s="79" t="e">
        <f t="shared" si="67"/>
        <v>#DIV/0!</v>
      </c>
      <c r="N62" s="33">
        <v>0.2</v>
      </c>
      <c r="O62" s="34">
        <f t="shared" si="61"/>
        <v>0</v>
      </c>
      <c r="Q62" s="31">
        <f t="shared" si="68"/>
        <v>0</v>
      </c>
      <c r="R62" s="79" t="e">
        <f t="shared" si="69"/>
        <v>#DIV/0!</v>
      </c>
      <c r="S62" s="33">
        <v>0.2</v>
      </c>
      <c r="T62" s="34">
        <f t="shared" si="62"/>
        <v>0</v>
      </c>
      <c r="V62" s="31">
        <f t="shared" si="70"/>
        <v>0</v>
      </c>
      <c r="W62" s="79" t="e">
        <f t="shared" si="71"/>
        <v>#DIV/0!</v>
      </c>
      <c r="X62" s="33">
        <v>0.2</v>
      </c>
      <c r="Y62" s="34">
        <f t="shared" si="63"/>
        <v>0</v>
      </c>
      <c r="AA62" s="31">
        <f t="shared" si="72"/>
        <v>36.338754399999992</v>
      </c>
      <c r="AB62" s="79">
        <f>AA62/$AA$60</f>
        <v>1.0055498458376155</v>
      </c>
      <c r="AC62" s="33">
        <v>0.2</v>
      </c>
      <c r="AD62" s="34">
        <f t="shared" si="64"/>
        <v>0</v>
      </c>
      <c r="AF62" s="31">
        <f t="shared" si="73"/>
        <v>37.883800000000001</v>
      </c>
      <c r="AG62" s="32">
        <f>AF62/$AF$60</f>
        <v>1.0199994615115371</v>
      </c>
      <c r="AH62" s="33">
        <v>0.2</v>
      </c>
      <c r="AI62" s="34">
        <f t="shared" si="65"/>
        <v>0.03</v>
      </c>
    </row>
    <row r="63" spans="12:35" x14ac:dyDescent="0.25">
      <c r="L63" s="31">
        <f t="shared" si="66"/>
        <v>0</v>
      </c>
      <c r="M63" s="79" t="e">
        <f t="shared" si="67"/>
        <v>#DIV/0!</v>
      </c>
      <c r="N63" s="33">
        <v>0.3</v>
      </c>
      <c r="O63" s="34">
        <f t="shared" si="61"/>
        <v>0</v>
      </c>
      <c r="Q63" s="31">
        <f t="shared" si="68"/>
        <v>0</v>
      </c>
      <c r="R63" s="79" t="e">
        <f t="shared" si="69"/>
        <v>#DIV/0!</v>
      </c>
      <c r="S63" s="33">
        <v>0.3</v>
      </c>
      <c r="T63" s="34">
        <f t="shared" si="62"/>
        <v>0</v>
      </c>
      <c r="V63" s="31">
        <f t="shared" si="70"/>
        <v>0</v>
      </c>
      <c r="W63" s="79" t="e">
        <f t="shared" si="71"/>
        <v>#DIV/0!</v>
      </c>
      <c r="X63" s="33">
        <v>0.3</v>
      </c>
      <c r="Y63" s="34">
        <f t="shared" si="63"/>
        <v>0</v>
      </c>
      <c r="AA63" s="31">
        <f t="shared" si="72"/>
        <v>36.439035099999991</v>
      </c>
      <c r="AB63" s="79">
        <f t="shared" ref="AB63:AB70" si="74">AA63/$AA$60</f>
        <v>1.0083247687564234</v>
      </c>
      <c r="AC63" s="33">
        <v>0.3</v>
      </c>
      <c r="AD63" s="34">
        <f t="shared" si="64"/>
        <v>0</v>
      </c>
      <c r="AF63" s="31">
        <f t="shared" si="73"/>
        <v>38.255200000000002</v>
      </c>
      <c r="AG63" s="32">
        <f t="shared" ref="AG63:AG70" si="75">AF63/$AF$60</f>
        <v>1.0299991922673057</v>
      </c>
      <c r="AH63" s="33">
        <v>0.3</v>
      </c>
      <c r="AI63" s="34">
        <f t="shared" si="65"/>
        <v>4.4999999999999998E-2</v>
      </c>
    </row>
    <row r="64" spans="12:35" x14ac:dyDescent="0.25">
      <c r="L64" s="31">
        <f t="shared" si="66"/>
        <v>0</v>
      </c>
      <c r="M64" s="79" t="e">
        <f t="shared" si="67"/>
        <v>#DIV/0!</v>
      </c>
      <c r="N64" s="33">
        <v>0.4</v>
      </c>
      <c r="O64" s="34">
        <f t="shared" si="61"/>
        <v>0</v>
      </c>
      <c r="Q64" s="31">
        <f t="shared" si="68"/>
        <v>0</v>
      </c>
      <c r="R64" s="79" t="e">
        <f t="shared" si="69"/>
        <v>#DIV/0!</v>
      </c>
      <c r="S64" s="33">
        <v>0.4</v>
      </c>
      <c r="T64" s="34">
        <f t="shared" si="62"/>
        <v>0</v>
      </c>
      <c r="V64" s="31">
        <f t="shared" si="70"/>
        <v>0</v>
      </c>
      <c r="W64" s="79" t="e">
        <f t="shared" si="71"/>
        <v>#DIV/0!</v>
      </c>
      <c r="X64" s="33">
        <v>0.4</v>
      </c>
      <c r="Y64" s="34">
        <f t="shared" si="63"/>
        <v>0</v>
      </c>
      <c r="AA64" s="31">
        <f t="shared" si="72"/>
        <v>36.53931579999999</v>
      </c>
      <c r="AB64" s="79">
        <f t="shared" si="74"/>
        <v>1.0110996916752311</v>
      </c>
      <c r="AC64" s="33">
        <v>0.4</v>
      </c>
      <c r="AD64" s="34">
        <f t="shared" si="64"/>
        <v>0</v>
      </c>
      <c r="AF64" s="31">
        <f t="shared" si="73"/>
        <v>38.626600000000003</v>
      </c>
      <c r="AG64" s="32">
        <f t="shared" si="75"/>
        <v>1.0399989230230744</v>
      </c>
      <c r="AH64" s="33">
        <v>0.4</v>
      </c>
      <c r="AI64" s="34">
        <f t="shared" si="65"/>
        <v>0.06</v>
      </c>
    </row>
    <row r="65" spans="12:35" x14ac:dyDescent="0.25">
      <c r="L65" s="31">
        <f t="shared" si="66"/>
        <v>0</v>
      </c>
      <c r="M65" s="79" t="e">
        <f t="shared" si="67"/>
        <v>#DIV/0!</v>
      </c>
      <c r="N65" s="33">
        <v>0.5</v>
      </c>
      <c r="O65" s="34">
        <f t="shared" si="61"/>
        <v>0</v>
      </c>
      <c r="Q65" s="31">
        <f t="shared" si="68"/>
        <v>0</v>
      </c>
      <c r="R65" s="79" t="e">
        <f t="shared" si="69"/>
        <v>#DIV/0!</v>
      </c>
      <c r="S65" s="33">
        <v>0.5</v>
      </c>
      <c r="T65" s="34">
        <f t="shared" si="62"/>
        <v>0</v>
      </c>
      <c r="V65" s="31">
        <f t="shared" si="70"/>
        <v>0</v>
      </c>
      <c r="W65" s="79" t="e">
        <f t="shared" si="71"/>
        <v>#DIV/0!</v>
      </c>
      <c r="X65" s="33">
        <v>0.5</v>
      </c>
      <c r="Y65" s="34">
        <f t="shared" si="63"/>
        <v>0</v>
      </c>
      <c r="AA65" s="31">
        <f t="shared" si="72"/>
        <v>36.639596499999989</v>
      </c>
      <c r="AB65" s="79">
        <f t="shared" si="74"/>
        <v>1.0138746145940389</v>
      </c>
      <c r="AC65" s="33">
        <v>0.5</v>
      </c>
      <c r="AD65" s="34">
        <f t="shared" si="64"/>
        <v>0</v>
      </c>
      <c r="AF65" s="31">
        <f t="shared" si="73"/>
        <v>38.998000000000005</v>
      </c>
      <c r="AG65" s="32">
        <f t="shared" si="75"/>
        <v>1.049998653778843</v>
      </c>
      <c r="AH65" s="33">
        <v>0.5</v>
      </c>
      <c r="AI65" s="34">
        <f t="shared" si="65"/>
        <v>7.4999999999999997E-2</v>
      </c>
    </row>
    <row r="66" spans="12:35" x14ac:dyDescent="0.25">
      <c r="L66" s="31">
        <f t="shared" si="66"/>
        <v>0</v>
      </c>
      <c r="M66" s="79" t="e">
        <f t="shared" si="67"/>
        <v>#DIV/0!</v>
      </c>
      <c r="N66" s="33">
        <v>0.6</v>
      </c>
      <c r="O66" s="34">
        <f t="shared" si="61"/>
        <v>0</v>
      </c>
      <c r="Q66" s="31">
        <f t="shared" si="68"/>
        <v>0</v>
      </c>
      <c r="R66" s="79" t="e">
        <f t="shared" si="69"/>
        <v>#DIV/0!</v>
      </c>
      <c r="S66" s="33">
        <v>0.6</v>
      </c>
      <c r="T66" s="34">
        <f t="shared" si="62"/>
        <v>0</v>
      </c>
      <c r="V66" s="31">
        <f t="shared" si="70"/>
        <v>0</v>
      </c>
      <c r="W66" s="79" t="e">
        <f t="shared" si="71"/>
        <v>#DIV/0!</v>
      </c>
      <c r="X66" s="33">
        <v>0.6</v>
      </c>
      <c r="Y66" s="34">
        <f t="shared" si="63"/>
        <v>0</v>
      </c>
      <c r="AA66" s="31">
        <f t="shared" si="72"/>
        <v>36.739877199999988</v>
      </c>
      <c r="AB66" s="79">
        <f t="shared" si="74"/>
        <v>1.0166495375128468</v>
      </c>
      <c r="AC66" s="33">
        <v>0.6</v>
      </c>
      <c r="AD66" s="34">
        <f t="shared" si="64"/>
        <v>0</v>
      </c>
      <c r="AF66" s="31">
        <f t="shared" si="73"/>
        <v>39.369400000000006</v>
      </c>
      <c r="AG66" s="32">
        <f t="shared" si="75"/>
        <v>1.0599983845346115</v>
      </c>
      <c r="AH66" s="33">
        <v>0.6</v>
      </c>
      <c r="AI66" s="34">
        <f t="shared" si="65"/>
        <v>0.09</v>
      </c>
    </row>
    <row r="67" spans="12:35" x14ac:dyDescent="0.25">
      <c r="L67" s="31">
        <f t="shared" si="66"/>
        <v>0</v>
      </c>
      <c r="M67" s="79" t="e">
        <f t="shared" si="67"/>
        <v>#DIV/0!</v>
      </c>
      <c r="N67" s="33">
        <v>0.7</v>
      </c>
      <c r="O67" s="34">
        <f t="shared" si="61"/>
        <v>0</v>
      </c>
      <c r="Q67" s="31">
        <f t="shared" si="68"/>
        <v>0</v>
      </c>
      <c r="R67" s="79" t="e">
        <f t="shared" si="69"/>
        <v>#DIV/0!</v>
      </c>
      <c r="S67" s="33">
        <v>0.7</v>
      </c>
      <c r="T67" s="34">
        <f t="shared" si="62"/>
        <v>0</v>
      </c>
      <c r="V67" s="31">
        <f t="shared" si="70"/>
        <v>0</v>
      </c>
      <c r="W67" s="79" t="e">
        <f t="shared" si="71"/>
        <v>#DIV/0!</v>
      </c>
      <c r="X67" s="33">
        <v>0.7</v>
      </c>
      <c r="Y67" s="34">
        <f t="shared" si="63"/>
        <v>0</v>
      </c>
      <c r="AA67" s="31">
        <f t="shared" si="72"/>
        <v>36.840157899999987</v>
      </c>
      <c r="AB67" s="79">
        <f t="shared" si="74"/>
        <v>1.0194244604316545</v>
      </c>
      <c r="AC67" s="33">
        <v>0.7</v>
      </c>
      <c r="AD67" s="34">
        <f t="shared" si="64"/>
        <v>0</v>
      </c>
      <c r="AF67" s="31">
        <f t="shared" si="73"/>
        <v>39.740800000000007</v>
      </c>
      <c r="AG67" s="32">
        <f t="shared" si="75"/>
        <v>1.0699981152903801</v>
      </c>
      <c r="AH67" s="33">
        <v>0.7</v>
      </c>
      <c r="AI67" s="34">
        <f t="shared" si="65"/>
        <v>0.105</v>
      </c>
    </row>
    <row r="68" spans="12:35" x14ac:dyDescent="0.25">
      <c r="L68" s="31">
        <f t="shared" si="66"/>
        <v>0</v>
      </c>
      <c r="M68" s="79" t="e">
        <f t="shared" si="67"/>
        <v>#DIV/0!</v>
      </c>
      <c r="N68" s="33">
        <v>0.8</v>
      </c>
      <c r="O68" s="34">
        <f t="shared" si="61"/>
        <v>0</v>
      </c>
      <c r="Q68" s="31">
        <f t="shared" si="68"/>
        <v>0</v>
      </c>
      <c r="R68" s="79" t="e">
        <f t="shared" si="69"/>
        <v>#DIV/0!</v>
      </c>
      <c r="S68" s="33">
        <v>0.8</v>
      </c>
      <c r="T68" s="34">
        <f t="shared" si="62"/>
        <v>0</v>
      </c>
      <c r="V68" s="31">
        <f t="shared" si="70"/>
        <v>0</v>
      </c>
      <c r="W68" s="79" t="e">
        <f t="shared" si="71"/>
        <v>#DIV/0!</v>
      </c>
      <c r="X68" s="33">
        <v>0.8</v>
      </c>
      <c r="Y68" s="34">
        <f t="shared" si="63"/>
        <v>0</v>
      </c>
      <c r="AA68" s="31">
        <f t="shared" si="72"/>
        <v>36.940438599999986</v>
      </c>
      <c r="AB68" s="79">
        <f t="shared" si="74"/>
        <v>1.0221993833504623</v>
      </c>
      <c r="AC68" s="33">
        <v>0.8</v>
      </c>
      <c r="AD68" s="34">
        <f t="shared" si="64"/>
        <v>0</v>
      </c>
      <c r="AF68" s="31">
        <f t="shared" si="73"/>
        <v>40.112200000000009</v>
      </c>
      <c r="AG68" s="32">
        <f t="shared" si="75"/>
        <v>1.0799978460461488</v>
      </c>
      <c r="AH68" s="33">
        <v>0.8</v>
      </c>
      <c r="AI68" s="34">
        <f t="shared" si="65"/>
        <v>0.12</v>
      </c>
    </row>
    <row r="69" spans="12:35" x14ac:dyDescent="0.25">
      <c r="L69" s="31">
        <f t="shared" si="66"/>
        <v>0</v>
      </c>
      <c r="M69" s="79" t="e">
        <f t="shared" si="67"/>
        <v>#DIV/0!</v>
      </c>
      <c r="N69" s="33">
        <v>0.9</v>
      </c>
      <c r="O69" s="34">
        <f t="shared" si="61"/>
        <v>0</v>
      </c>
      <c r="Q69" s="31">
        <f t="shared" si="68"/>
        <v>0</v>
      </c>
      <c r="R69" s="79" t="e">
        <f t="shared" si="69"/>
        <v>#DIV/0!</v>
      </c>
      <c r="S69" s="33">
        <v>0.9</v>
      </c>
      <c r="T69" s="34">
        <f t="shared" si="62"/>
        <v>0</v>
      </c>
      <c r="V69" s="31">
        <f t="shared" si="70"/>
        <v>0</v>
      </c>
      <c r="W69" s="79" t="e">
        <f t="shared" si="71"/>
        <v>#DIV/0!</v>
      </c>
      <c r="X69" s="33">
        <v>0.9</v>
      </c>
      <c r="Y69" s="34">
        <f t="shared" si="63"/>
        <v>0</v>
      </c>
      <c r="AA69" s="31">
        <f t="shared" si="72"/>
        <v>37.040719299999985</v>
      </c>
      <c r="AB69" s="79">
        <f t="shared" si="74"/>
        <v>1.02497430626927</v>
      </c>
      <c r="AC69" s="33">
        <v>0.9</v>
      </c>
      <c r="AD69" s="34">
        <f t="shared" si="64"/>
        <v>0</v>
      </c>
      <c r="AF69" s="31">
        <f t="shared" si="73"/>
        <v>40.48360000000001</v>
      </c>
      <c r="AG69" s="32">
        <f t="shared" si="75"/>
        <v>1.0899975768019174</v>
      </c>
      <c r="AH69" s="33">
        <v>0.9</v>
      </c>
      <c r="AI69" s="34">
        <f t="shared" si="65"/>
        <v>0.13500000000000001</v>
      </c>
    </row>
    <row r="70" spans="12:35" x14ac:dyDescent="0.25">
      <c r="L70" s="78">
        <f>$AM$7</f>
        <v>0</v>
      </c>
      <c r="M70" s="79" t="e">
        <f t="shared" si="67"/>
        <v>#DIV/0!</v>
      </c>
      <c r="N70" s="41">
        <v>1</v>
      </c>
      <c r="O70" s="41">
        <f>$C$7</f>
        <v>0</v>
      </c>
      <c r="Q70" s="78">
        <f>$AN$7</f>
        <v>0</v>
      </c>
      <c r="R70" s="79" t="e">
        <f t="shared" si="69"/>
        <v>#DIV/0!</v>
      </c>
      <c r="S70" s="41">
        <v>1</v>
      </c>
      <c r="T70" s="41">
        <f>$D$7</f>
        <v>0</v>
      </c>
      <c r="V70" s="78">
        <f>$AO$7</f>
        <v>0</v>
      </c>
      <c r="W70" s="79" t="e">
        <f t="shared" si="71"/>
        <v>#DIV/0!</v>
      </c>
      <c r="X70" s="41">
        <v>1</v>
      </c>
      <c r="Y70" s="41">
        <f>$E$7</f>
        <v>0</v>
      </c>
      <c r="AA70" s="78">
        <f>$AP$7</f>
        <v>37.140999999999998</v>
      </c>
      <c r="AB70" s="79">
        <f t="shared" si="74"/>
        <v>1.0277492291880783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7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 t="s">
        <v>71</v>
      </c>
      <c r="N72" s="8"/>
      <c r="O72" s="9" t="str">
        <f>$C$2</f>
        <v>Q1</v>
      </c>
      <c r="Q72" s="7" t="str">
        <f>$A$8</f>
        <v>KPI 6</v>
      </c>
      <c r="R72" s="8" t="s">
        <v>71</v>
      </c>
      <c r="S72" s="8"/>
      <c r="T72" s="9" t="str">
        <f>$D$2</f>
        <v>Q2</v>
      </c>
      <c r="V72" s="7" t="str">
        <f>$A$8</f>
        <v>KPI 6</v>
      </c>
      <c r="W72" s="8" t="s">
        <v>71</v>
      </c>
      <c r="X72" s="8"/>
      <c r="Y72" s="9" t="str">
        <f>$E$2</f>
        <v>Q3</v>
      </c>
      <c r="AA72" s="7" t="str">
        <f>$A$8</f>
        <v>KPI 6</v>
      </c>
      <c r="AB72" s="8" t="s">
        <v>71</v>
      </c>
      <c r="AC72" s="8"/>
      <c r="AD72" s="9" t="str">
        <f>$F$2</f>
        <v>Q4</v>
      </c>
      <c r="AF72" s="7" t="str">
        <f>$A$8</f>
        <v>KPI 6</v>
      </c>
      <c r="AG72" s="8" t="s">
        <v>71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 t="e">
        <f>L74/$L$74</f>
        <v>#DIV/0!</v>
      </c>
      <c r="N74" s="29">
        <v>0</v>
      </c>
      <c r="O74" s="30">
        <f t="shared" ref="O74:O83" si="76">O$84*N74</f>
        <v>0</v>
      </c>
      <c r="Q74" s="27">
        <f>Q84*0.973</f>
        <v>0</v>
      </c>
      <c r="R74" s="79" t="e">
        <f>Q74/$Q$74</f>
        <v>#DIV/0!</v>
      </c>
      <c r="S74" s="29">
        <v>0</v>
      </c>
      <c r="T74" s="30">
        <f t="shared" ref="T74:T83" si="77">T$84*S74</f>
        <v>0</v>
      </c>
      <c r="V74" s="27">
        <f>V84*0.973</f>
        <v>0</v>
      </c>
      <c r="W74" s="79" t="e">
        <f>V74/$V$74</f>
        <v>#DIV/0!</v>
      </c>
      <c r="X74" s="29">
        <v>0</v>
      </c>
      <c r="Y74" s="30">
        <f t="shared" ref="Y74:Y83" si="78">Y$84*X74</f>
        <v>0</v>
      </c>
      <c r="AA74" s="27">
        <f>AA84*0.973</f>
        <v>39.348119999999994</v>
      </c>
      <c r="AB74" s="79">
        <f>AA74/$AA$74</f>
        <v>1</v>
      </c>
      <c r="AC74" s="29">
        <v>0</v>
      </c>
      <c r="AD74" s="30">
        <f t="shared" ref="AD74:AD83" si="79">AD$84*AC74</f>
        <v>0</v>
      </c>
      <c r="AF74" s="27">
        <f>AA84</f>
        <v>40.44</v>
      </c>
      <c r="AG74" s="28">
        <f t="shared" ref="AG74:AG84" si="80">AF74/$AF$74</f>
        <v>1</v>
      </c>
      <c r="AH74" s="29">
        <v>0</v>
      </c>
      <c r="AI74" s="30">
        <f t="shared" ref="AI74:AI83" si="81">AI$84*AH74</f>
        <v>0</v>
      </c>
    </row>
    <row r="75" spans="12:35" x14ac:dyDescent="0.25">
      <c r="L75" s="31">
        <f t="shared" ref="L75:L83" si="82">L74+(L$84-L$74)/10</f>
        <v>0</v>
      </c>
      <c r="M75" s="79" t="e">
        <f t="shared" ref="M75:M84" si="83">L75/$L$74</f>
        <v>#DIV/0!</v>
      </c>
      <c r="N75" s="33">
        <v>0.1</v>
      </c>
      <c r="O75" s="34">
        <f>O$84*N75</f>
        <v>0</v>
      </c>
      <c r="Q75" s="31">
        <f t="shared" ref="Q75:Q83" si="84">Q74+(Q$84-Q$74)/10</f>
        <v>0</v>
      </c>
      <c r="R75" s="79" t="e">
        <f t="shared" ref="R75:R84" si="85">Q75/$Q$74</f>
        <v>#DIV/0!</v>
      </c>
      <c r="S75" s="33">
        <v>0.1</v>
      </c>
      <c r="T75" s="34">
        <f t="shared" si="77"/>
        <v>0</v>
      </c>
      <c r="V75" s="31">
        <f t="shared" ref="V75:V83" si="86">V74+(V$84-V$74)/10</f>
        <v>0</v>
      </c>
      <c r="W75" s="79" t="e">
        <f t="shared" ref="W75:W84" si="87">V75/$V$74</f>
        <v>#DIV/0!</v>
      </c>
      <c r="X75" s="33">
        <v>0.1</v>
      </c>
      <c r="Y75" s="34">
        <f t="shared" si="78"/>
        <v>0</v>
      </c>
      <c r="AA75" s="31">
        <f t="shared" ref="AA75:AA83" si="88">AA74+(AA$84-AA$74)/10</f>
        <v>39.457307999999998</v>
      </c>
      <c r="AB75" s="79">
        <f t="shared" ref="AB75:AB84" si="89">AA75/$AA$74</f>
        <v>1.0027749229188079</v>
      </c>
      <c r="AC75" s="33">
        <v>0.1</v>
      </c>
      <c r="AD75" s="34">
        <f t="shared" si="79"/>
        <v>0</v>
      </c>
      <c r="AF75" s="31">
        <f t="shared" ref="AF75:AF83" si="90">AF74+(AF$84-AF$74)/10</f>
        <v>40.574999999999996</v>
      </c>
      <c r="AG75" s="32">
        <f t="shared" si="80"/>
        <v>1.0033382789317506</v>
      </c>
      <c r="AH75" s="33">
        <v>0.1</v>
      </c>
      <c r="AI75" s="34">
        <f t="shared" si="81"/>
        <v>0</v>
      </c>
    </row>
    <row r="76" spans="12:35" x14ac:dyDescent="0.25">
      <c r="L76" s="31">
        <f t="shared" si="82"/>
        <v>0</v>
      </c>
      <c r="M76" s="79" t="e">
        <f t="shared" si="83"/>
        <v>#DIV/0!</v>
      </c>
      <c r="N76" s="33">
        <v>0.2</v>
      </c>
      <c r="O76" s="34">
        <f t="shared" si="76"/>
        <v>0</v>
      </c>
      <c r="Q76" s="31">
        <f t="shared" si="84"/>
        <v>0</v>
      </c>
      <c r="R76" s="79" t="e">
        <f t="shared" si="85"/>
        <v>#DIV/0!</v>
      </c>
      <c r="S76" s="33">
        <v>0.2</v>
      </c>
      <c r="T76" s="34">
        <f t="shared" si="77"/>
        <v>0</v>
      </c>
      <c r="V76" s="31">
        <f t="shared" si="86"/>
        <v>0</v>
      </c>
      <c r="W76" s="79" t="e">
        <f t="shared" si="87"/>
        <v>#DIV/0!</v>
      </c>
      <c r="X76" s="33">
        <v>0.2</v>
      </c>
      <c r="Y76" s="34">
        <f t="shared" si="78"/>
        <v>0</v>
      </c>
      <c r="AA76" s="31">
        <f t="shared" si="88"/>
        <v>39.566496000000001</v>
      </c>
      <c r="AB76" s="79">
        <f t="shared" si="89"/>
        <v>1.0055498458376158</v>
      </c>
      <c r="AC76" s="33">
        <v>0.2</v>
      </c>
      <c r="AD76" s="34">
        <f t="shared" si="79"/>
        <v>0</v>
      </c>
      <c r="AF76" s="31">
        <f t="shared" si="90"/>
        <v>40.709999999999994</v>
      </c>
      <c r="AG76" s="32">
        <f t="shared" si="80"/>
        <v>1.0066765578635013</v>
      </c>
      <c r="AH76" s="33">
        <v>0.2</v>
      </c>
      <c r="AI76" s="34">
        <f t="shared" si="81"/>
        <v>0</v>
      </c>
    </row>
    <row r="77" spans="12:35" x14ac:dyDescent="0.25">
      <c r="L77" s="31">
        <f t="shared" si="82"/>
        <v>0</v>
      </c>
      <c r="M77" s="79" t="e">
        <f t="shared" si="83"/>
        <v>#DIV/0!</v>
      </c>
      <c r="N77" s="33">
        <v>0.3</v>
      </c>
      <c r="O77" s="34">
        <f t="shared" si="76"/>
        <v>0</v>
      </c>
      <c r="Q77" s="31">
        <f t="shared" si="84"/>
        <v>0</v>
      </c>
      <c r="R77" s="79" t="e">
        <f t="shared" si="85"/>
        <v>#DIV/0!</v>
      </c>
      <c r="S77" s="33">
        <v>0.3</v>
      </c>
      <c r="T77" s="34">
        <f t="shared" si="77"/>
        <v>0</v>
      </c>
      <c r="V77" s="31">
        <f t="shared" si="86"/>
        <v>0</v>
      </c>
      <c r="W77" s="79" t="e">
        <f t="shared" si="87"/>
        <v>#DIV/0!</v>
      </c>
      <c r="X77" s="33">
        <v>0.3</v>
      </c>
      <c r="Y77" s="34">
        <f t="shared" si="78"/>
        <v>0</v>
      </c>
      <c r="AA77" s="31">
        <f t="shared" si="88"/>
        <v>39.675684000000004</v>
      </c>
      <c r="AB77" s="79">
        <f t="shared" si="89"/>
        <v>1.0083247687564236</v>
      </c>
      <c r="AC77" s="33">
        <v>0.3</v>
      </c>
      <c r="AD77" s="34">
        <f t="shared" si="79"/>
        <v>0</v>
      </c>
      <c r="AF77" s="31">
        <f t="shared" si="90"/>
        <v>40.844999999999992</v>
      </c>
      <c r="AG77" s="32">
        <f t="shared" si="80"/>
        <v>1.0100148367952522</v>
      </c>
      <c r="AH77" s="33">
        <v>0.3</v>
      </c>
      <c r="AI77" s="34">
        <f t="shared" si="81"/>
        <v>0</v>
      </c>
    </row>
    <row r="78" spans="12:35" x14ac:dyDescent="0.25">
      <c r="L78" s="31">
        <f t="shared" si="82"/>
        <v>0</v>
      </c>
      <c r="M78" s="79" t="e">
        <f t="shared" si="83"/>
        <v>#DIV/0!</v>
      </c>
      <c r="N78" s="33">
        <v>0.4</v>
      </c>
      <c r="O78" s="34">
        <f t="shared" si="76"/>
        <v>0</v>
      </c>
      <c r="Q78" s="31">
        <f t="shared" si="84"/>
        <v>0</v>
      </c>
      <c r="R78" s="79" t="e">
        <f t="shared" si="85"/>
        <v>#DIV/0!</v>
      </c>
      <c r="S78" s="33">
        <v>0.4</v>
      </c>
      <c r="T78" s="34">
        <f t="shared" si="77"/>
        <v>0</v>
      </c>
      <c r="V78" s="31">
        <f t="shared" si="86"/>
        <v>0</v>
      </c>
      <c r="W78" s="79" t="e">
        <f t="shared" si="87"/>
        <v>#DIV/0!</v>
      </c>
      <c r="X78" s="33">
        <v>0.4</v>
      </c>
      <c r="Y78" s="34">
        <f t="shared" si="78"/>
        <v>0</v>
      </c>
      <c r="AA78" s="31">
        <f t="shared" si="88"/>
        <v>39.784872000000007</v>
      </c>
      <c r="AB78" s="79">
        <f t="shared" si="89"/>
        <v>1.0110996916752315</v>
      </c>
      <c r="AC78" s="33">
        <v>0.4</v>
      </c>
      <c r="AD78" s="34">
        <f t="shared" si="79"/>
        <v>0</v>
      </c>
      <c r="AF78" s="31">
        <f t="shared" si="90"/>
        <v>40.97999999999999</v>
      </c>
      <c r="AG78" s="32">
        <f t="shared" si="80"/>
        <v>1.0133531157270028</v>
      </c>
      <c r="AH78" s="33">
        <v>0.4</v>
      </c>
      <c r="AI78" s="34">
        <f t="shared" si="81"/>
        <v>0</v>
      </c>
    </row>
    <row r="79" spans="12:35" x14ac:dyDescent="0.25">
      <c r="L79" s="31">
        <f t="shared" si="82"/>
        <v>0</v>
      </c>
      <c r="M79" s="79" t="e">
        <f t="shared" si="83"/>
        <v>#DIV/0!</v>
      </c>
      <c r="N79" s="33">
        <v>0.5</v>
      </c>
      <c r="O79" s="34">
        <f t="shared" si="76"/>
        <v>0</v>
      </c>
      <c r="Q79" s="31">
        <f t="shared" si="84"/>
        <v>0</v>
      </c>
      <c r="R79" s="79" t="e">
        <f t="shared" si="85"/>
        <v>#DIV/0!</v>
      </c>
      <c r="S79" s="33">
        <v>0.5</v>
      </c>
      <c r="T79" s="34">
        <f t="shared" si="77"/>
        <v>0</v>
      </c>
      <c r="V79" s="31">
        <f t="shared" si="86"/>
        <v>0</v>
      </c>
      <c r="W79" s="79" t="e">
        <f t="shared" si="87"/>
        <v>#DIV/0!</v>
      </c>
      <c r="X79" s="33">
        <v>0.5</v>
      </c>
      <c r="Y79" s="34">
        <f t="shared" si="78"/>
        <v>0</v>
      </c>
      <c r="AA79" s="31">
        <f t="shared" si="88"/>
        <v>39.89406000000001</v>
      </c>
      <c r="AB79" s="79">
        <f t="shared" si="89"/>
        <v>1.0138746145940394</v>
      </c>
      <c r="AC79" s="33">
        <v>0.5</v>
      </c>
      <c r="AD79" s="34">
        <f t="shared" si="79"/>
        <v>0</v>
      </c>
      <c r="AF79" s="31">
        <f t="shared" si="90"/>
        <v>41.114999999999988</v>
      </c>
      <c r="AG79" s="32">
        <f t="shared" si="80"/>
        <v>1.0166913946587535</v>
      </c>
      <c r="AH79" s="33">
        <v>0.5</v>
      </c>
      <c r="AI79" s="34">
        <f t="shared" si="81"/>
        <v>0</v>
      </c>
    </row>
    <row r="80" spans="12:35" x14ac:dyDescent="0.25">
      <c r="L80" s="31">
        <f t="shared" si="82"/>
        <v>0</v>
      </c>
      <c r="M80" s="79" t="e">
        <f t="shared" si="83"/>
        <v>#DIV/0!</v>
      </c>
      <c r="N80" s="33">
        <v>0.6</v>
      </c>
      <c r="O80" s="34">
        <f t="shared" si="76"/>
        <v>0</v>
      </c>
      <c r="Q80" s="31">
        <f t="shared" si="84"/>
        <v>0</v>
      </c>
      <c r="R80" s="79" t="e">
        <f t="shared" si="85"/>
        <v>#DIV/0!</v>
      </c>
      <c r="S80" s="33">
        <v>0.6</v>
      </c>
      <c r="T80" s="34">
        <f t="shared" si="77"/>
        <v>0</v>
      </c>
      <c r="V80" s="31">
        <f t="shared" si="86"/>
        <v>0</v>
      </c>
      <c r="W80" s="79" t="e">
        <f t="shared" si="87"/>
        <v>#DIV/0!</v>
      </c>
      <c r="X80" s="33">
        <v>0.6</v>
      </c>
      <c r="Y80" s="34">
        <f t="shared" si="78"/>
        <v>0</v>
      </c>
      <c r="AA80" s="31">
        <f t="shared" si="88"/>
        <v>40.003248000000013</v>
      </c>
      <c r="AB80" s="79">
        <f t="shared" si="89"/>
        <v>1.0166495375128473</v>
      </c>
      <c r="AC80" s="33">
        <v>0.6</v>
      </c>
      <c r="AD80" s="34">
        <f t="shared" si="79"/>
        <v>0</v>
      </c>
      <c r="AF80" s="31">
        <f t="shared" si="90"/>
        <v>41.249999999999986</v>
      </c>
      <c r="AG80" s="32">
        <f t="shared" si="80"/>
        <v>1.0200296735905041</v>
      </c>
      <c r="AH80" s="33">
        <v>0.6</v>
      </c>
      <c r="AI80" s="34">
        <f t="shared" si="81"/>
        <v>0</v>
      </c>
    </row>
    <row r="81" spans="12:35" x14ac:dyDescent="0.25">
      <c r="L81" s="31">
        <f t="shared" si="82"/>
        <v>0</v>
      </c>
      <c r="M81" s="79" t="e">
        <f t="shared" si="83"/>
        <v>#DIV/0!</v>
      </c>
      <c r="N81" s="33">
        <v>0.7</v>
      </c>
      <c r="O81" s="34">
        <f t="shared" si="76"/>
        <v>0</v>
      </c>
      <c r="Q81" s="31">
        <f t="shared" si="84"/>
        <v>0</v>
      </c>
      <c r="R81" s="79" t="e">
        <f t="shared" si="85"/>
        <v>#DIV/0!</v>
      </c>
      <c r="S81" s="33">
        <v>0.7</v>
      </c>
      <c r="T81" s="34">
        <f t="shared" si="77"/>
        <v>0</v>
      </c>
      <c r="V81" s="31">
        <f t="shared" si="86"/>
        <v>0</v>
      </c>
      <c r="W81" s="79" t="e">
        <f t="shared" si="87"/>
        <v>#DIV/0!</v>
      </c>
      <c r="X81" s="33">
        <v>0.7</v>
      </c>
      <c r="Y81" s="34">
        <f t="shared" si="78"/>
        <v>0</v>
      </c>
      <c r="AA81" s="31">
        <f t="shared" si="88"/>
        <v>40.112436000000017</v>
      </c>
      <c r="AB81" s="79">
        <f t="shared" si="89"/>
        <v>1.0194244604316551</v>
      </c>
      <c r="AC81" s="33">
        <v>0.7</v>
      </c>
      <c r="AD81" s="34">
        <f t="shared" si="79"/>
        <v>0</v>
      </c>
      <c r="AF81" s="31">
        <f t="shared" si="90"/>
        <v>41.384999999999984</v>
      </c>
      <c r="AG81" s="32">
        <f t="shared" si="80"/>
        <v>1.0233679525222548</v>
      </c>
      <c r="AH81" s="33">
        <v>0.7</v>
      </c>
      <c r="AI81" s="34">
        <f t="shared" si="81"/>
        <v>0</v>
      </c>
    </row>
    <row r="82" spans="12:35" x14ac:dyDescent="0.25">
      <c r="L82" s="31">
        <f t="shared" si="82"/>
        <v>0</v>
      </c>
      <c r="M82" s="79" t="e">
        <f t="shared" si="83"/>
        <v>#DIV/0!</v>
      </c>
      <c r="N82" s="33">
        <v>0.8</v>
      </c>
      <c r="O82" s="34">
        <f t="shared" si="76"/>
        <v>0</v>
      </c>
      <c r="Q82" s="31">
        <f t="shared" si="84"/>
        <v>0</v>
      </c>
      <c r="R82" s="79" t="e">
        <f t="shared" si="85"/>
        <v>#DIV/0!</v>
      </c>
      <c r="S82" s="33">
        <v>0.8</v>
      </c>
      <c r="T82" s="34">
        <f t="shared" si="77"/>
        <v>0</v>
      </c>
      <c r="V82" s="31">
        <f t="shared" si="86"/>
        <v>0</v>
      </c>
      <c r="W82" s="79" t="e">
        <f t="shared" si="87"/>
        <v>#DIV/0!</v>
      </c>
      <c r="X82" s="33">
        <v>0.8</v>
      </c>
      <c r="Y82" s="34">
        <f t="shared" si="78"/>
        <v>0</v>
      </c>
      <c r="AA82" s="31">
        <f t="shared" si="88"/>
        <v>40.22162400000002</v>
      </c>
      <c r="AB82" s="79">
        <f t="shared" si="89"/>
        <v>1.0221993833504632</v>
      </c>
      <c r="AC82" s="33">
        <v>0.8</v>
      </c>
      <c r="AD82" s="34">
        <f t="shared" si="79"/>
        <v>0</v>
      </c>
      <c r="AF82" s="31">
        <f t="shared" si="90"/>
        <v>41.519999999999982</v>
      </c>
      <c r="AG82" s="32">
        <f t="shared" si="80"/>
        <v>1.0267062314540056</v>
      </c>
      <c r="AH82" s="33">
        <v>0.8</v>
      </c>
      <c r="AI82" s="34">
        <f t="shared" si="81"/>
        <v>0</v>
      </c>
    </row>
    <row r="83" spans="12:35" x14ac:dyDescent="0.25">
      <c r="L83" s="31">
        <f t="shared" si="82"/>
        <v>0</v>
      </c>
      <c r="M83" s="79" t="e">
        <f t="shared" si="83"/>
        <v>#DIV/0!</v>
      </c>
      <c r="N83" s="33">
        <v>0.9</v>
      </c>
      <c r="O83" s="34">
        <f t="shared" si="76"/>
        <v>0</v>
      </c>
      <c r="Q83" s="31">
        <f t="shared" si="84"/>
        <v>0</v>
      </c>
      <c r="R83" s="79" t="e">
        <f t="shared" si="85"/>
        <v>#DIV/0!</v>
      </c>
      <c r="S83" s="33">
        <v>0.9</v>
      </c>
      <c r="T83" s="34">
        <f t="shared" si="77"/>
        <v>0</v>
      </c>
      <c r="V83" s="31">
        <f t="shared" si="86"/>
        <v>0</v>
      </c>
      <c r="W83" s="79" t="e">
        <f t="shared" si="87"/>
        <v>#DIV/0!</v>
      </c>
      <c r="X83" s="33">
        <v>0.9</v>
      </c>
      <c r="Y83" s="34">
        <f t="shared" si="78"/>
        <v>0</v>
      </c>
      <c r="AA83" s="31">
        <f t="shared" si="88"/>
        <v>40.330812000000023</v>
      </c>
      <c r="AB83" s="79">
        <f t="shared" si="89"/>
        <v>1.0249743062692711</v>
      </c>
      <c r="AC83" s="33">
        <v>0.9</v>
      </c>
      <c r="AD83" s="34">
        <f t="shared" si="79"/>
        <v>0</v>
      </c>
      <c r="AF83" s="31">
        <f t="shared" si="90"/>
        <v>41.65499999999998</v>
      </c>
      <c r="AG83" s="32">
        <f t="shared" si="80"/>
        <v>1.0300445103857563</v>
      </c>
      <c r="AH83" s="33">
        <v>0.9</v>
      </c>
      <c r="AI83" s="34">
        <f t="shared" si="81"/>
        <v>0</v>
      </c>
    </row>
    <row r="84" spans="12:35" x14ac:dyDescent="0.25">
      <c r="L84" s="78">
        <f>$AM$8</f>
        <v>0</v>
      </c>
      <c r="M84" s="79" t="e">
        <f t="shared" si="83"/>
        <v>#DIV/0!</v>
      </c>
      <c r="N84" s="41">
        <v>1</v>
      </c>
      <c r="O84" s="41">
        <f>$C$8</f>
        <v>0</v>
      </c>
      <c r="Q84" s="78">
        <f>$AN$8</f>
        <v>0</v>
      </c>
      <c r="R84" s="79" t="e">
        <f t="shared" si="85"/>
        <v>#DIV/0!</v>
      </c>
      <c r="S84" s="41">
        <v>1</v>
      </c>
      <c r="T84" s="41">
        <f>$D$8</f>
        <v>0</v>
      </c>
      <c r="V84" s="78">
        <f>$AO$8</f>
        <v>0</v>
      </c>
      <c r="W84" s="79" t="e">
        <f t="shared" si="87"/>
        <v>#DIV/0!</v>
      </c>
      <c r="X84" s="41">
        <v>1</v>
      </c>
      <c r="Y84" s="41">
        <f>$E$8</f>
        <v>0</v>
      </c>
      <c r="AA84" s="78">
        <f>$AP$8</f>
        <v>40.44</v>
      </c>
      <c r="AB84" s="79">
        <f t="shared" si="89"/>
        <v>1.0277492291880781</v>
      </c>
      <c r="AC84" s="41">
        <v>1</v>
      </c>
      <c r="AD84" s="41">
        <f>$F$8</f>
        <v>0</v>
      </c>
      <c r="AF84" s="78">
        <f>$AQ$8</f>
        <v>41.79</v>
      </c>
      <c r="AG84" s="81">
        <f t="shared" si="80"/>
        <v>1.0333827893175074</v>
      </c>
      <c r="AH84" s="41">
        <v>1</v>
      </c>
      <c r="AI84" s="41">
        <f>$G$8</f>
        <v>0</v>
      </c>
    </row>
  </sheetData>
  <conditionalFormatting sqref="C17:F23">
    <cfRule type="top10" dxfId="18" priority="2" percent="1" rank="10"/>
  </conditionalFormatting>
  <conditionalFormatting sqref="C26:F32">
    <cfRule type="top10" dxfId="17" priority="1" percent="1" rank="10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5"/>
  <sheetViews>
    <sheetView zoomScaleNormal="100" workbookViewId="0">
      <selection activeCell="P48" sqref="P48"/>
    </sheetView>
  </sheetViews>
  <sheetFormatPr defaultColWidth="8.7109375" defaultRowHeight="15" x14ac:dyDescent="0.25"/>
  <cols>
    <col min="1" max="1" width="2.140625" customWidth="1"/>
    <col min="2" max="2" width="15.140625" customWidth="1"/>
    <col min="3" max="4" width="15.7109375" bestFit="1" customWidth="1"/>
    <col min="5" max="6" width="10.85546875" bestFit="1" customWidth="1"/>
    <col min="7" max="8" width="15.7109375" bestFit="1" customWidth="1"/>
    <col min="9" max="9" width="8.7109375" bestFit="1" customWidth="1"/>
    <col min="10" max="10" width="9.42578125" bestFit="1" customWidth="1"/>
    <col min="13" max="13" width="11.7109375" bestFit="1" customWidth="1"/>
    <col min="14" max="14" width="11.28515625" bestFit="1" customWidth="1"/>
    <col min="15" max="15" width="11.5703125" bestFit="1" customWidth="1"/>
    <col min="16" max="16" width="14.42578125" bestFit="1" customWidth="1"/>
    <col min="17" max="17" width="13.85546875" bestFit="1" customWidth="1"/>
    <col min="18" max="18" width="17.85546875" bestFit="1" customWidth="1"/>
    <col min="19" max="19" width="18.28515625" customWidth="1"/>
  </cols>
  <sheetData>
    <row r="1" spans="1:12" ht="15" customHeight="1" thickBot="1" x14ac:dyDescent="0.3">
      <c r="B1" s="82" t="s">
        <v>26</v>
      </c>
    </row>
    <row r="2" spans="1:12" s="83" customFormat="1" ht="15" customHeight="1" thickBot="1" x14ac:dyDescent="0.3">
      <c r="B2" s="84" t="s">
        <v>27</v>
      </c>
      <c r="C2" s="85" t="s">
        <v>28</v>
      </c>
      <c r="D2" s="85" t="s">
        <v>29</v>
      </c>
      <c r="E2" s="85" t="s">
        <v>30</v>
      </c>
      <c r="F2" s="85" t="s">
        <v>31</v>
      </c>
      <c r="G2" s="85" t="s">
        <v>32</v>
      </c>
      <c r="H2" s="85" t="s">
        <v>33</v>
      </c>
      <c r="I2" s="85" t="s">
        <v>34</v>
      </c>
      <c r="J2" s="85" t="s">
        <v>35</v>
      </c>
      <c r="K2" s="86" t="s">
        <v>36</v>
      </c>
      <c r="L2" s="87" t="s">
        <v>37</v>
      </c>
    </row>
    <row r="3" spans="1:12" x14ac:dyDescent="0.25">
      <c r="A3">
        <v>1</v>
      </c>
      <c r="B3" s="88" t="s">
        <v>21</v>
      </c>
      <c r="C3" s="89"/>
      <c r="D3" s="89"/>
      <c r="E3" s="89"/>
      <c r="F3" s="89"/>
      <c r="G3" s="89"/>
      <c r="H3" s="89"/>
      <c r="I3" s="89"/>
      <c r="J3" s="89"/>
      <c r="K3" s="90"/>
      <c r="L3" s="91"/>
    </row>
    <row r="4" spans="1:12" x14ac:dyDescent="0.25">
      <c r="A4">
        <v>2</v>
      </c>
      <c r="B4" s="92" t="s">
        <v>38</v>
      </c>
      <c r="C4" s="89"/>
      <c r="D4" s="89"/>
      <c r="E4" s="89"/>
      <c r="F4" s="89"/>
      <c r="G4" s="89"/>
      <c r="H4" s="89"/>
      <c r="I4" s="89"/>
      <c r="J4" s="89"/>
      <c r="K4" s="90"/>
      <c r="L4" s="91"/>
    </row>
    <row r="5" spans="1:12" x14ac:dyDescent="0.25">
      <c r="A5">
        <v>3</v>
      </c>
      <c r="B5" s="92" t="s">
        <v>39</v>
      </c>
      <c r="C5" s="89"/>
      <c r="D5" s="89"/>
      <c r="E5" s="89"/>
      <c r="F5" s="89"/>
      <c r="G5" s="89"/>
      <c r="H5" s="89"/>
      <c r="I5" s="89"/>
      <c r="J5" s="89"/>
      <c r="K5" s="90"/>
      <c r="L5" s="91"/>
    </row>
    <row r="6" spans="1:12" x14ac:dyDescent="0.25">
      <c r="A6">
        <v>4</v>
      </c>
      <c r="B6" s="92" t="s">
        <v>40</v>
      </c>
      <c r="C6" s="89"/>
      <c r="D6" s="89"/>
      <c r="E6" s="89"/>
      <c r="F6" s="89"/>
      <c r="G6" s="89"/>
      <c r="H6" s="89"/>
      <c r="I6" s="89"/>
      <c r="J6" s="89"/>
      <c r="K6" s="90"/>
      <c r="L6" s="91"/>
    </row>
    <row r="7" spans="1:12" x14ac:dyDescent="0.25">
      <c r="A7">
        <v>5</v>
      </c>
      <c r="B7" s="92" t="s">
        <v>41</v>
      </c>
      <c r="C7" s="89"/>
      <c r="D7" s="89"/>
      <c r="E7" s="89"/>
      <c r="F7" s="89"/>
      <c r="G7" s="89"/>
      <c r="H7" s="89"/>
      <c r="I7" s="89"/>
      <c r="J7" s="89"/>
      <c r="K7" s="90"/>
      <c r="L7" s="91"/>
    </row>
    <row r="8" spans="1:12" x14ac:dyDescent="0.25">
      <c r="A8">
        <v>6</v>
      </c>
      <c r="B8" s="92" t="s">
        <v>42</v>
      </c>
      <c r="C8" s="89"/>
      <c r="D8" s="89"/>
      <c r="E8" s="89"/>
      <c r="F8" s="89"/>
      <c r="G8" s="89"/>
      <c r="H8" s="89"/>
      <c r="I8" s="89"/>
      <c r="J8" s="89"/>
      <c r="K8" s="90"/>
      <c r="L8" s="91"/>
    </row>
    <row r="9" spans="1:12" x14ac:dyDescent="0.25">
      <c r="A9">
        <v>7</v>
      </c>
      <c r="B9" s="92" t="s">
        <v>43</v>
      </c>
      <c r="C9" s="89"/>
      <c r="D9" s="89"/>
      <c r="E9" s="89"/>
      <c r="F9" s="89"/>
      <c r="G9" s="89"/>
      <c r="H9" s="89"/>
      <c r="I9" s="89"/>
      <c r="J9" s="89"/>
      <c r="K9" s="90"/>
      <c r="L9" s="91"/>
    </row>
    <row r="10" spans="1:12" x14ac:dyDescent="0.25">
      <c r="A10">
        <v>8</v>
      </c>
      <c r="B10" s="92" t="s">
        <v>44</v>
      </c>
      <c r="C10" s="89"/>
      <c r="D10" s="89"/>
      <c r="E10" s="89"/>
      <c r="F10" s="89"/>
      <c r="G10" s="89"/>
      <c r="H10" s="89"/>
      <c r="I10" s="89"/>
      <c r="J10" s="89"/>
      <c r="K10" s="90"/>
      <c r="L10" s="91"/>
    </row>
    <row r="11" spans="1:12" x14ac:dyDescent="0.25">
      <c r="A11">
        <v>9</v>
      </c>
      <c r="B11" s="92" t="s">
        <v>45</v>
      </c>
      <c r="C11" s="89"/>
      <c r="D11" s="89"/>
      <c r="E11" s="89"/>
      <c r="F11" s="89"/>
      <c r="G11" s="89"/>
      <c r="H11" s="89"/>
      <c r="I11" s="89"/>
      <c r="J11" s="89"/>
      <c r="K11" s="90"/>
      <c r="L11" s="91"/>
    </row>
    <row r="12" spans="1:12" ht="15" customHeight="1" thickBot="1" x14ac:dyDescent="0.3">
      <c r="A12">
        <v>10</v>
      </c>
      <c r="B12" s="93" t="s">
        <v>46</v>
      </c>
      <c r="C12" s="89"/>
      <c r="D12" s="89"/>
      <c r="E12" s="89"/>
      <c r="F12" s="89"/>
      <c r="G12" s="89"/>
      <c r="H12" s="89"/>
      <c r="I12" s="89"/>
      <c r="J12" s="89"/>
      <c r="K12" s="90"/>
      <c r="L12" s="91"/>
    </row>
    <row r="13" spans="1:12" s="6" customFormat="1" ht="29.45" customHeight="1" thickBot="1" x14ac:dyDescent="0.3">
      <c r="A13" s="6">
        <v>11</v>
      </c>
      <c r="B13" s="94" t="s">
        <v>47</v>
      </c>
      <c r="C13" s="95">
        <v>42742840803.652702</v>
      </c>
      <c r="D13" s="95">
        <v>42163000000</v>
      </c>
      <c r="E13" s="95">
        <f>C13/I13</f>
        <v>288030.65436831577</v>
      </c>
      <c r="F13" s="95">
        <f>D13/J13</f>
        <v>286628.14411964652</v>
      </c>
      <c r="G13" s="95">
        <v>28741103799.2299</v>
      </c>
      <c r="H13" s="95">
        <v>28657000000</v>
      </c>
      <c r="I13" s="95">
        <v>148396.8465002194</v>
      </c>
      <c r="J13" s="95">
        <v>147100</v>
      </c>
      <c r="K13" s="96">
        <f>H13/G13</f>
        <v>0.99707374498149393</v>
      </c>
      <c r="L13" s="97">
        <f>F13/E13</f>
        <v>0.99513069103097684</v>
      </c>
    </row>
    <row r="14" spans="1:12" x14ac:dyDescent="0.25">
      <c r="A14">
        <v>12</v>
      </c>
      <c r="B14" s="88" t="s">
        <v>48</v>
      </c>
      <c r="C14" s="89"/>
      <c r="D14" s="89"/>
      <c r="E14" s="89"/>
      <c r="F14" s="89"/>
      <c r="G14" s="89"/>
      <c r="H14" s="89"/>
      <c r="I14" s="89"/>
      <c r="J14" s="89"/>
      <c r="K14" s="90"/>
      <c r="L14" s="91"/>
    </row>
    <row r="15" spans="1:12" x14ac:dyDescent="0.25">
      <c r="A15">
        <v>13</v>
      </c>
      <c r="B15" s="92" t="s">
        <v>49</v>
      </c>
      <c r="C15" s="89"/>
      <c r="D15" s="89"/>
      <c r="E15" s="89"/>
      <c r="F15" s="89"/>
      <c r="G15" s="89"/>
      <c r="H15" s="89"/>
      <c r="I15" s="89"/>
      <c r="J15" s="89"/>
      <c r="K15" s="90"/>
      <c r="L15" s="91"/>
    </row>
    <row r="16" spans="1:12" x14ac:dyDescent="0.25">
      <c r="A16">
        <v>14</v>
      </c>
      <c r="B16" s="92" t="s">
        <v>50</v>
      </c>
      <c r="C16" s="89"/>
      <c r="D16" s="89"/>
      <c r="E16" s="89"/>
      <c r="F16" s="89"/>
      <c r="G16" s="89"/>
      <c r="H16" s="89"/>
      <c r="I16" s="89"/>
      <c r="J16" s="89"/>
      <c r="K16" s="90"/>
      <c r="L16" s="91"/>
    </row>
    <row r="17" spans="1:12" x14ac:dyDescent="0.25">
      <c r="A17">
        <v>15</v>
      </c>
      <c r="B17" s="92" t="s">
        <v>51</v>
      </c>
      <c r="C17" s="89"/>
      <c r="D17" s="89"/>
      <c r="E17" s="89"/>
      <c r="F17" s="89"/>
      <c r="G17" s="89"/>
      <c r="H17" s="89"/>
      <c r="I17" s="89"/>
      <c r="J17" s="89"/>
      <c r="K17" s="90"/>
      <c r="L17" s="91"/>
    </row>
    <row r="18" spans="1:12" ht="15" customHeight="1" thickBot="1" x14ac:dyDescent="0.3">
      <c r="A18">
        <v>16</v>
      </c>
      <c r="B18" s="93" t="s">
        <v>52</v>
      </c>
      <c r="C18" s="89"/>
      <c r="D18" s="89"/>
      <c r="E18" s="89"/>
      <c r="F18" s="89"/>
      <c r="G18" s="89"/>
      <c r="H18" s="89"/>
      <c r="I18" s="89"/>
      <c r="J18" s="89"/>
      <c r="K18" s="98"/>
      <c r="L18" s="99"/>
    </row>
    <row r="20" spans="1:12" ht="15" customHeight="1" thickBot="1" x14ac:dyDescent="0.3">
      <c r="B20" s="82" t="s">
        <v>53</v>
      </c>
    </row>
    <row r="21" spans="1:12" s="83" customFormat="1" ht="15" customHeight="1" thickBot="1" x14ac:dyDescent="0.3">
      <c r="B21" s="84" t="s">
        <v>27</v>
      </c>
      <c r="C21" s="85" t="s">
        <v>28</v>
      </c>
      <c r="D21" s="85" t="s">
        <v>29</v>
      </c>
      <c r="E21" s="85" t="s">
        <v>30</v>
      </c>
      <c r="F21" s="85" t="s">
        <v>31</v>
      </c>
      <c r="G21" s="85" t="s">
        <v>32</v>
      </c>
      <c r="H21" s="85" t="s">
        <v>33</v>
      </c>
      <c r="I21" s="85" t="s">
        <v>34</v>
      </c>
      <c r="J21" s="85" t="s">
        <v>35</v>
      </c>
      <c r="K21" s="86" t="s">
        <v>36</v>
      </c>
      <c r="L21" s="87" t="s">
        <v>37</v>
      </c>
    </row>
    <row r="22" spans="1:12" x14ac:dyDescent="0.25">
      <c r="A22">
        <v>1</v>
      </c>
      <c r="B22" s="88" t="s">
        <v>21</v>
      </c>
      <c r="C22" s="89">
        <v>2449804122.0471859</v>
      </c>
      <c r="D22" s="89">
        <v>2624318074.6475</v>
      </c>
      <c r="E22" s="89">
        <v>241949.4589524758</v>
      </c>
      <c r="F22" s="89">
        <v>244037.13503469341</v>
      </c>
      <c r="G22" s="89">
        <v>1679651225.8567431</v>
      </c>
      <c r="H22" s="89">
        <v>1905666436.6901121</v>
      </c>
      <c r="I22" s="89">
        <v>10125.27216491268</v>
      </c>
      <c r="J22" s="89">
        <v>10753.765299999999</v>
      </c>
      <c r="K22" s="100">
        <f t="shared" ref="K22:K37" si="0">H22/G22</f>
        <v>1.1345607989051922</v>
      </c>
      <c r="L22" s="101">
        <f t="shared" ref="L22:L37" si="1">F22/E22</f>
        <v>1.008628562722381</v>
      </c>
    </row>
    <row r="23" spans="1:12" x14ac:dyDescent="0.25">
      <c r="A23">
        <v>2</v>
      </c>
      <c r="B23" s="92" t="s">
        <v>38</v>
      </c>
      <c r="C23" s="89">
        <v>11332557350.69532</v>
      </c>
      <c r="D23" s="89">
        <v>11400040942.583969</v>
      </c>
      <c r="E23" s="89">
        <v>299101.68876039027</v>
      </c>
      <c r="F23" s="89">
        <v>300392.9517074459</v>
      </c>
      <c r="G23" s="89">
        <v>7332154121.5194283</v>
      </c>
      <c r="H23" s="89">
        <v>7462258145.4617414</v>
      </c>
      <c r="I23" s="89">
        <v>37888.64381763422</v>
      </c>
      <c r="J23" s="89">
        <v>37950.427524299987</v>
      </c>
      <c r="K23" s="100">
        <f t="shared" si="0"/>
        <v>1.01774431112413</v>
      </c>
      <c r="L23" s="101">
        <f t="shared" si="1"/>
        <v>1.0043171369322828</v>
      </c>
    </row>
    <row r="24" spans="1:12" x14ac:dyDescent="0.25">
      <c r="A24">
        <v>3</v>
      </c>
      <c r="B24" s="92" t="s">
        <v>39</v>
      </c>
      <c r="C24" s="89">
        <v>17016859062.70734</v>
      </c>
      <c r="D24" s="89">
        <v>18082525575.89381</v>
      </c>
      <c r="E24" s="89">
        <v>317919.74080752529</v>
      </c>
      <c r="F24" s="89">
        <v>316661.18594850221</v>
      </c>
      <c r="G24" s="89">
        <v>10913283118.44574</v>
      </c>
      <c r="H24" s="89">
        <v>11778670239.2876</v>
      </c>
      <c r="I24" s="89">
        <v>53525.644615474419</v>
      </c>
      <c r="J24" s="89">
        <v>57103.700668999998</v>
      </c>
      <c r="K24" s="100">
        <f t="shared" si="0"/>
        <v>1.0792966801511064</v>
      </c>
      <c r="L24" s="101">
        <f t="shared" si="1"/>
        <v>0.99604128118679791</v>
      </c>
    </row>
    <row r="25" spans="1:12" x14ac:dyDescent="0.25">
      <c r="A25">
        <v>4</v>
      </c>
      <c r="B25" s="92" t="s">
        <v>40</v>
      </c>
      <c r="C25" s="89">
        <v>17206007225.439442</v>
      </c>
      <c r="D25" s="89">
        <v>16991387196.667789</v>
      </c>
      <c r="E25" s="89">
        <v>277257.42074892652</v>
      </c>
      <c r="F25" s="89">
        <v>275653.87301974738</v>
      </c>
      <c r="G25" s="89">
        <v>11157121735.22773</v>
      </c>
      <c r="H25" s="89">
        <v>11443413156.721081</v>
      </c>
      <c r="I25" s="89">
        <v>62057.878122658178</v>
      </c>
      <c r="J25" s="89">
        <v>61640.299156799992</v>
      </c>
      <c r="K25" s="100">
        <f t="shared" si="0"/>
        <v>1.0256599711186629</v>
      </c>
      <c r="L25" s="101">
        <f t="shared" si="1"/>
        <v>0.99421639383051441</v>
      </c>
    </row>
    <row r="26" spans="1:12" x14ac:dyDescent="0.25">
      <c r="A26">
        <v>5</v>
      </c>
      <c r="B26" s="92" t="s">
        <v>41</v>
      </c>
      <c r="C26" s="89">
        <v>13610137754.94203</v>
      </c>
      <c r="D26" s="89">
        <v>14215750872.783911</v>
      </c>
      <c r="E26" s="89">
        <v>297339.69519924792</v>
      </c>
      <c r="F26" s="89">
        <v>296998.12994475622</v>
      </c>
      <c r="G26" s="89">
        <v>8751399920.9410782</v>
      </c>
      <c r="H26" s="89">
        <v>9301707316.3771706</v>
      </c>
      <c r="I26" s="89">
        <v>45773.026523827742</v>
      </c>
      <c r="J26" s="89">
        <v>47864.782432899978</v>
      </c>
      <c r="K26" s="100">
        <f t="shared" si="0"/>
        <v>1.0628822131781763</v>
      </c>
      <c r="L26" s="101">
        <f t="shared" si="1"/>
        <v>0.99885126251218215</v>
      </c>
    </row>
    <row r="27" spans="1:12" x14ac:dyDescent="0.25">
      <c r="A27">
        <v>6</v>
      </c>
      <c r="B27" s="92" t="s">
        <v>42</v>
      </c>
      <c r="C27" s="89">
        <v>7002719786.4796638</v>
      </c>
      <c r="D27" s="89">
        <v>7308114056.4134188</v>
      </c>
      <c r="E27" s="89">
        <v>293974.04687491118</v>
      </c>
      <c r="F27" s="89">
        <v>294714.27101616992</v>
      </c>
      <c r="G27" s="89">
        <v>4628819347.8014774</v>
      </c>
      <c r="H27" s="89">
        <v>4935227697.368679</v>
      </c>
      <c r="I27" s="89">
        <v>23820.877594202691</v>
      </c>
      <c r="J27" s="89">
        <v>24797.285965200001</v>
      </c>
      <c r="K27" s="100">
        <f t="shared" si="0"/>
        <v>1.0661957891514462</v>
      </c>
      <c r="L27" s="101">
        <f t="shared" si="1"/>
        <v>1.0025179914660076</v>
      </c>
    </row>
    <row r="28" spans="1:12" x14ac:dyDescent="0.25">
      <c r="A28">
        <v>7</v>
      </c>
      <c r="B28" s="92" t="s">
        <v>43</v>
      </c>
      <c r="C28" s="89">
        <v>4466668674.2498512</v>
      </c>
      <c r="D28" s="89">
        <v>4737507814.4181175</v>
      </c>
      <c r="E28" s="89">
        <v>267545.0204568734</v>
      </c>
      <c r="F28" s="89">
        <v>265996.444337775</v>
      </c>
      <c r="G28" s="89">
        <v>3341402453.5960598</v>
      </c>
      <c r="H28" s="89">
        <v>3634349047.7215862</v>
      </c>
      <c r="I28" s="89">
        <v>16695.01703534733</v>
      </c>
      <c r="J28" s="89">
        <v>17810.417828000009</v>
      </c>
      <c r="K28" s="100">
        <f t="shared" si="0"/>
        <v>1.0876717480740021</v>
      </c>
      <c r="L28" s="101">
        <f t="shared" si="1"/>
        <v>0.9942119045368365</v>
      </c>
    </row>
    <row r="29" spans="1:12" x14ac:dyDescent="0.25">
      <c r="A29">
        <v>8</v>
      </c>
      <c r="B29" s="92" t="s">
        <v>44</v>
      </c>
      <c r="C29" s="89">
        <v>4082063208.0598001</v>
      </c>
      <c r="D29" s="89">
        <v>3296998603.427938</v>
      </c>
      <c r="E29" s="89">
        <v>280078.56166869629</v>
      </c>
      <c r="F29" s="89">
        <v>278935.5453410474</v>
      </c>
      <c r="G29" s="89">
        <v>2945841029.0535688</v>
      </c>
      <c r="H29" s="89">
        <v>2388142801.452395</v>
      </c>
      <c r="I29" s="89">
        <v>14574.707838183111</v>
      </c>
      <c r="J29" s="89">
        <v>11819.929939</v>
      </c>
      <c r="K29" s="100">
        <f t="shared" si="0"/>
        <v>0.81068285012638663</v>
      </c>
      <c r="L29" s="101">
        <f t="shared" si="1"/>
        <v>0.99591894388189217</v>
      </c>
    </row>
    <row r="30" spans="1:12" x14ac:dyDescent="0.25">
      <c r="A30">
        <v>9</v>
      </c>
      <c r="B30" s="92" t="s">
        <v>45</v>
      </c>
      <c r="C30" s="89">
        <v>4918706590.0285788</v>
      </c>
      <c r="D30" s="89">
        <v>5551158226.1635513</v>
      </c>
      <c r="E30" s="89">
        <v>317795.88592831109</v>
      </c>
      <c r="F30" s="89">
        <v>304389.5870505778</v>
      </c>
      <c r="G30" s="89">
        <v>3232652796.6232061</v>
      </c>
      <c r="H30" s="89">
        <v>3866739072.1187639</v>
      </c>
      <c r="I30" s="89">
        <v>15477.565342485739</v>
      </c>
      <c r="J30" s="89">
        <v>18237.017500999998</v>
      </c>
      <c r="K30" s="100">
        <f t="shared" si="0"/>
        <v>1.1961504421872702</v>
      </c>
      <c r="L30" s="101">
        <f t="shared" si="1"/>
        <v>0.95781475006017691</v>
      </c>
    </row>
    <row r="31" spans="1:12" ht="15" customHeight="1" thickBot="1" x14ac:dyDescent="0.3">
      <c r="A31">
        <v>10</v>
      </c>
      <c r="B31" s="93" t="s">
        <v>46</v>
      </c>
      <c r="C31" s="89">
        <v>754051116.47282243</v>
      </c>
      <c r="D31" s="89">
        <v>856201917.90931892</v>
      </c>
      <c r="E31" s="89">
        <v>266018.63495756622</v>
      </c>
      <c r="F31" s="89">
        <v>242102.63254789601</v>
      </c>
      <c r="G31" s="89">
        <v>524200198.19604361</v>
      </c>
      <c r="H31" s="89">
        <v>640577682.64882624</v>
      </c>
      <c r="I31" s="89">
        <v>2834.5800533601891</v>
      </c>
      <c r="J31" s="89">
        <v>3536.524609000001</v>
      </c>
      <c r="K31" s="100">
        <f t="shared" si="0"/>
        <v>1.2220096155119329</v>
      </c>
      <c r="L31" s="101">
        <f t="shared" si="1"/>
        <v>0.91009651480436637</v>
      </c>
    </row>
    <row r="32" spans="1:12" s="6" customFormat="1" ht="29.45" customHeight="1" thickBot="1" x14ac:dyDescent="0.3">
      <c r="A32" s="6">
        <v>11</v>
      </c>
      <c r="B32" s="94" t="s">
        <v>47</v>
      </c>
      <c r="C32" s="95">
        <v>82839574891.122009</v>
      </c>
      <c r="D32" s="95">
        <v>85064003280.909317</v>
      </c>
      <c r="E32" s="95">
        <v>292954.10969304817</v>
      </c>
      <c r="F32" s="95">
        <v>291800.59702397091</v>
      </c>
      <c r="G32" s="95">
        <v>54506525947.26107</v>
      </c>
      <c r="H32" s="95">
        <v>57356751595.847977</v>
      </c>
      <c r="I32" s="95">
        <v>282773.21310808632</v>
      </c>
      <c r="J32" s="95">
        <v>291514.15092520003</v>
      </c>
      <c r="K32" s="96">
        <f t="shared" si="0"/>
        <v>1.0522914568311454</v>
      </c>
      <c r="L32" s="97">
        <f t="shared" si="1"/>
        <v>0.99606247998949093</v>
      </c>
    </row>
    <row r="33" spans="1:15" x14ac:dyDescent="0.25">
      <c r="A33">
        <v>12</v>
      </c>
      <c r="B33" s="88" t="s">
        <v>48</v>
      </c>
      <c r="C33" s="89">
        <v>22596186476.30204</v>
      </c>
      <c r="D33" s="89">
        <v>22729502844.12693</v>
      </c>
      <c r="E33" s="89">
        <v>326971.41674091702</v>
      </c>
      <c r="F33" s="89">
        <v>329396.50320691662</v>
      </c>
      <c r="G33" s="89">
        <v>14516279208.70887</v>
      </c>
      <c r="H33" s="89">
        <v>14508665890.96043</v>
      </c>
      <c r="I33" s="89">
        <v>69107.528424133256</v>
      </c>
      <c r="J33" s="89">
        <v>69003.47339100005</v>
      </c>
      <c r="K33" s="100">
        <f t="shared" si="0"/>
        <v>0.99947553242542542</v>
      </c>
      <c r="L33" s="101">
        <f t="shared" si="1"/>
        <v>1.0074168148707665</v>
      </c>
    </row>
    <row r="34" spans="1:15" x14ac:dyDescent="0.25">
      <c r="A34">
        <v>13</v>
      </c>
      <c r="B34" s="92" t="s">
        <v>49</v>
      </c>
      <c r="C34" s="89">
        <v>22188848521.212021</v>
      </c>
      <c r="D34" s="89">
        <v>21878641423.06358</v>
      </c>
      <c r="E34" s="89">
        <v>319715.3879932292</v>
      </c>
      <c r="F34" s="89">
        <v>319369.67782715219</v>
      </c>
      <c r="G34" s="89">
        <v>12690563355.88163</v>
      </c>
      <c r="H34" s="89">
        <v>12817363946.081329</v>
      </c>
      <c r="I34" s="89">
        <v>69401.878528542773</v>
      </c>
      <c r="J34" s="89">
        <v>68505.694002999982</v>
      </c>
      <c r="K34" s="100">
        <f t="shared" si="0"/>
        <v>1.0099917227189865</v>
      </c>
      <c r="L34" s="101">
        <f t="shared" si="1"/>
        <v>0.9989186940039172</v>
      </c>
    </row>
    <row r="35" spans="1:15" x14ac:dyDescent="0.25">
      <c r="A35">
        <v>14</v>
      </c>
      <c r="B35" s="92" t="s">
        <v>50</v>
      </c>
      <c r="C35" s="89">
        <v>2906781612.6423321</v>
      </c>
      <c r="D35" s="89">
        <v>3269484881.5389309</v>
      </c>
      <c r="E35" s="89">
        <v>301777.77993590868</v>
      </c>
      <c r="F35" s="89">
        <v>299816.76539045188</v>
      </c>
      <c r="G35" s="89">
        <v>2080049894.1753349</v>
      </c>
      <c r="H35" s="89">
        <v>2390383342.5687089</v>
      </c>
      <c r="I35" s="89">
        <v>9632.1923146882164</v>
      </c>
      <c r="J35" s="89">
        <v>10904.943482000001</v>
      </c>
      <c r="K35" s="100">
        <f t="shared" si="0"/>
        <v>1.1491951944337422</v>
      </c>
      <c r="L35" s="101">
        <f t="shared" si="1"/>
        <v>0.99350179278980288</v>
      </c>
    </row>
    <row r="36" spans="1:15" x14ac:dyDescent="0.25">
      <c r="A36">
        <v>15</v>
      </c>
      <c r="B36" s="92" t="s">
        <v>51</v>
      </c>
      <c r="C36" s="89">
        <v>4690683992.6979485</v>
      </c>
      <c r="D36" s="89">
        <v>4681491125.8695278</v>
      </c>
      <c r="E36" s="89">
        <v>286051.85072926327</v>
      </c>
      <c r="F36" s="89">
        <v>290304.50592999358</v>
      </c>
      <c r="G36" s="89">
        <v>3402823302.2218442</v>
      </c>
      <c r="H36" s="89">
        <v>3450132998.5323701</v>
      </c>
      <c r="I36" s="89">
        <v>16398.020081811999</v>
      </c>
      <c r="J36" s="89">
        <v>16126.140071</v>
      </c>
      <c r="K36" s="100">
        <f t="shared" si="0"/>
        <v>1.0139030716874531</v>
      </c>
      <c r="L36" s="101">
        <f t="shared" si="1"/>
        <v>1.0148667284965596</v>
      </c>
    </row>
    <row r="37" spans="1:15" ht="15" customHeight="1" thickBot="1" x14ac:dyDescent="0.3">
      <c r="A37">
        <v>16</v>
      </c>
      <c r="B37" s="93" t="s">
        <v>52</v>
      </c>
      <c r="C37" s="89">
        <f>SUM(C33:C36)</f>
        <v>52382500602.85434</v>
      </c>
      <c r="D37" s="89">
        <f>SUM(D33:D36)</f>
        <v>52559120274.598969</v>
      </c>
      <c r="E37" s="102">
        <f>C37/I37</f>
        <v>318357.97852243297</v>
      </c>
      <c r="F37" s="102">
        <f>D37/J37</f>
        <v>319430.1696520978</v>
      </c>
      <c r="G37" s="89">
        <f>SUM(G33:G36)</f>
        <v>32689715760.987679</v>
      </c>
      <c r="H37" s="89">
        <f>SUM(H33:H36)</f>
        <v>33166546178.142841</v>
      </c>
      <c r="I37" s="89">
        <f>SUM(I33:I36)</f>
        <v>164539.61934917621</v>
      </c>
      <c r="J37" s="89">
        <f>SUM(J33:J36)</f>
        <v>164540.25094700005</v>
      </c>
      <c r="K37" s="103">
        <f t="shared" si="0"/>
        <v>1.0145865574556088</v>
      </c>
      <c r="L37" s="104">
        <f t="shared" si="1"/>
        <v>1.0033678789350313</v>
      </c>
    </row>
    <row r="39" spans="1:15" ht="15" customHeight="1" thickBot="1" x14ac:dyDescent="0.3">
      <c r="B39" s="82" t="s">
        <v>54</v>
      </c>
    </row>
    <row r="40" spans="1:15" s="83" customFormat="1" ht="15" customHeight="1" thickBot="1" x14ac:dyDescent="0.3">
      <c r="B40" s="84" t="s">
        <v>27</v>
      </c>
      <c r="C40" s="85" t="s">
        <v>28</v>
      </c>
      <c r="D40" s="85" t="s">
        <v>29</v>
      </c>
      <c r="E40" s="85" t="s">
        <v>30</v>
      </c>
      <c r="F40" s="85" t="s">
        <v>31</v>
      </c>
      <c r="G40" s="85" t="s">
        <v>32</v>
      </c>
      <c r="H40" s="85" t="s">
        <v>33</v>
      </c>
      <c r="I40" s="85" t="s">
        <v>34</v>
      </c>
      <c r="J40" s="85" t="s">
        <v>35</v>
      </c>
      <c r="K40" s="86" t="s">
        <v>36</v>
      </c>
      <c r="L40" s="105" t="s">
        <v>37</v>
      </c>
      <c r="M40" s="167"/>
    </row>
    <row r="41" spans="1:15" ht="15.75" x14ac:dyDescent="0.25">
      <c r="A41">
        <v>1</v>
      </c>
      <c r="B41" s="88" t="s">
        <v>40</v>
      </c>
      <c r="C41" s="89">
        <v>26162717849.333672</v>
      </c>
      <c r="D41" s="89">
        <v>25977165538.3423</v>
      </c>
      <c r="E41" s="89">
        <v>279513.75086043362</v>
      </c>
      <c r="F41" s="89">
        <v>277906.0190421617</v>
      </c>
      <c r="G41" s="89">
        <v>16954327960.332529</v>
      </c>
      <c r="H41" s="89">
        <v>17402071173.72348</v>
      </c>
      <c r="I41" s="89">
        <v>93600.825608029583</v>
      </c>
      <c r="J41" s="89">
        <v>93474.641635600012</v>
      </c>
      <c r="K41" s="100">
        <f t="shared" ref="K41:K56" si="2">H41/G41</f>
        <v>1.0264087856763489</v>
      </c>
      <c r="L41" s="165">
        <f t="shared" ref="L41:L56" si="3">F41/E41</f>
        <v>0.99424811189673923</v>
      </c>
      <c r="M41" s="168"/>
      <c r="O41" s="160"/>
    </row>
    <row r="42" spans="1:15" ht="15.75" x14ac:dyDescent="0.25">
      <c r="A42">
        <v>2</v>
      </c>
      <c r="B42" s="92" t="s">
        <v>39</v>
      </c>
      <c r="C42" s="89">
        <v>25978175131.888</v>
      </c>
      <c r="D42" s="89">
        <v>27350987484.155609</v>
      </c>
      <c r="E42" s="89">
        <v>320673.13876128942</v>
      </c>
      <c r="F42" s="89">
        <v>320465.83822094399</v>
      </c>
      <c r="G42" s="89">
        <v>16694610261.498461</v>
      </c>
      <c r="H42" s="89">
        <v>17627971886.41713</v>
      </c>
      <c r="I42" s="89">
        <v>81011.385088996423</v>
      </c>
      <c r="J42" s="89">
        <v>85347.591606000045</v>
      </c>
      <c r="K42" s="100">
        <f t="shared" si="2"/>
        <v>1.0559079613299636</v>
      </c>
      <c r="L42" s="165">
        <f t="shared" si="3"/>
        <v>0.99935354566601309</v>
      </c>
      <c r="M42" s="167"/>
    </row>
    <row r="43" spans="1:15" ht="15.75" x14ac:dyDescent="0.25">
      <c r="A43">
        <v>3</v>
      </c>
      <c r="B43" s="92" t="s">
        <v>41</v>
      </c>
      <c r="C43" s="89">
        <v>20891606000.40321</v>
      </c>
      <c r="D43" s="89">
        <v>21533042611.074211</v>
      </c>
      <c r="E43" s="89">
        <v>298914.61827753187</v>
      </c>
      <c r="F43" s="89">
        <v>298258.59582843602</v>
      </c>
      <c r="G43" s="89">
        <v>13443670533.32357</v>
      </c>
      <c r="H43" s="89">
        <v>14059816363.505569</v>
      </c>
      <c r="I43" s="89">
        <v>69891.550037897701</v>
      </c>
      <c r="J43" s="89">
        <v>72195.882741499998</v>
      </c>
      <c r="K43" s="100">
        <f t="shared" si="2"/>
        <v>1.0458316669286654</v>
      </c>
      <c r="L43" s="165">
        <f t="shared" si="3"/>
        <v>0.9978053182782558</v>
      </c>
      <c r="M43" s="167"/>
    </row>
    <row r="44" spans="1:15" ht="15.75" x14ac:dyDescent="0.25">
      <c r="A44">
        <v>4</v>
      </c>
      <c r="B44" s="92" t="s">
        <v>38</v>
      </c>
      <c r="C44" s="89">
        <v>17270049364.848389</v>
      </c>
      <c r="D44" s="89">
        <v>17301657525.31992</v>
      </c>
      <c r="E44" s="89">
        <v>301077.187433757</v>
      </c>
      <c r="F44" s="89">
        <v>302670.98677166569</v>
      </c>
      <c r="G44" s="89">
        <v>11168095514.853069</v>
      </c>
      <c r="H44" s="89">
        <v>11239593208.55138</v>
      </c>
      <c r="I44" s="89">
        <v>57360.869855502227</v>
      </c>
      <c r="J44" s="89">
        <v>57163.250795400003</v>
      </c>
      <c r="K44" s="100">
        <f t="shared" si="2"/>
        <v>1.0064019593674878</v>
      </c>
      <c r="L44" s="165">
        <f t="shared" si="3"/>
        <v>1.0052936569239719</v>
      </c>
      <c r="M44" s="167"/>
    </row>
    <row r="45" spans="1:15" ht="15.75" x14ac:dyDescent="0.25">
      <c r="A45">
        <v>5</v>
      </c>
      <c r="B45" s="92" t="s">
        <v>42</v>
      </c>
      <c r="C45" s="89">
        <v>10627764562.134911</v>
      </c>
      <c r="D45" s="89">
        <v>10914642514.07518</v>
      </c>
      <c r="E45" s="89">
        <v>295853.20592834812</v>
      </c>
      <c r="F45" s="89">
        <v>297020.43803640839</v>
      </c>
      <c r="G45" s="89">
        <v>7021108358.3861561</v>
      </c>
      <c r="H45" s="89">
        <v>7339615462.4770374</v>
      </c>
      <c r="I45" s="89">
        <v>35922.42486873312</v>
      </c>
      <c r="J45" s="89">
        <v>36747.109344499979</v>
      </c>
      <c r="K45" s="100">
        <f t="shared" si="2"/>
        <v>1.0453642199825117</v>
      </c>
      <c r="L45" s="165">
        <f t="shared" si="3"/>
        <v>1.0039453082970577</v>
      </c>
      <c r="M45" s="167"/>
    </row>
    <row r="46" spans="1:15" ht="15.75" x14ac:dyDescent="0.25">
      <c r="A46">
        <v>6</v>
      </c>
      <c r="B46" s="92" t="s">
        <v>45</v>
      </c>
      <c r="C46" s="89">
        <v>7875143899.7274094</v>
      </c>
      <c r="D46" s="89">
        <v>8451842689.307333</v>
      </c>
      <c r="E46" s="89">
        <v>318541.29705139669</v>
      </c>
      <c r="F46" s="89">
        <v>309236.39805719291</v>
      </c>
      <c r="G46" s="89">
        <v>5259077409.0246029</v>
      </c>
      <c r="H46" s="89">
        <v>5828778258.1845913</v>
      </c>
      <c r="I46" s="89">
        <v>24722.52098118616</v>
      </c>
      <c r="J46" s="89">
        <v>27331.332089</v>
      </c>
      <c r="K46" s="100">
        <f t="shared" si="2"/>
        <v>1.1083271465414026</v>
      </c>
      <c r="L46" s="165">
        <f t="shared" si="3"/>
        <v>0.97078903401117744</v>
      </c>
      <c r="M46" s="167"/>
    </row>
    <row r="47" spans="1:15" ht="15.75" x14ac:dyDescent="0.25">
      <c r="A47">
        <v>7</v>
      </c>
      <c r="B47" s="92" t="s">
        <v>43</v>
      </c>
      <c r="C47" s="89">
        <v>6634870381.8104115</v>
      </c>
      <c r="D47" s="89">
        <v>6939021321.3082838</v>
      </c>
      <c r="E47" s="89">
        <v>268756.78805340931</v>
      </c>
      <c r="F47" s="89">
        <v>268110.14304789598</v>
      </c>
      <c r="G47" s="89">
        <v>4925222384.4504261</v>
      </c>
      <c r="H47" s="89">
        <v>5234655159.3654795</v>
      </c>
      <c r="I47" s="89">
        <v>24687.266244943668</v>
      </c>
      <c r="J47" s="89">
        <v>25881.233893000001</v>
      </c>
      <c r="K47" s="100">
        <f t="shared" si="2"/>
        <v>1.0628261529655947</v>
      </c>
      <c r="L47" s="165">
        <f t="shared" si="3"/>
        <v>0.99759393982121547</v>
      </c>
      <c r="M47" s="167"/>
    </row>
    <row r="48" spans="1:15" ht="15.75" x14ac:dyDescent="0.25">
      <c r="A48">
        <v>8</v>
      </c>
      <c r="B48" s="92" t="s">
        <v>44</v>
      </c>
      <c r="C48" s="89">
        <v>6345334578.9506865</v>
      </c>
      <c r="D48" s="89">
        <v>5285559932.5645056</v>
      </c>
      <c r="E48" s="89">
        <v>280918.56024115172</v>
      </c>
      <c r="F48" s="89">
        <v>280132.57915425702</v>
      </c>
      <c r="G48" s="89">
        <v>4565792331.6061745</v>
      </c>
      <c r="H48" s="89">
        <v>3816612062.6119709</v>
      </c>
      <c r="I48" s="89">
        <v>22587.808272631031</v>
      </c>
      <c r="J48" s="89">
        <v>18868.065787</v>
      </c>
      <c r="K48" s="100">
        <f t="shared" si="2"/>
        <v>0.8359145106517244</v>
      </c>
      <c r="L48" s="165">
        <f t="shared" si="3"/>
        <v>0.99720210339174464</v>
      </c>
      <c r="M48" s="167"/>
    </row>
    <row r="49" spans="1:20" ht="15.75" x14ac:dyDescent="0.25">
      <c r="A49">
        <v>9</v>
      </c>
      <c r="B49" s="92" t="s">
        <v>21</v>
      </c>
      <c r="C49" s="89">
        <v>3715923815.3251362</v>
      </c>
      <c r="D49" s="89">
        <v>3878331420.8028998</v>
      </c>
      <c r="E49" s="89">
        <v>242774.96034131601</v>
      </c>
      <c r="F49" s="89">
        <v>243320.74399148161</v>
      </c>
      <c r="G49" s="89">
        <v>2549925497.153893</v>
      </c>
      <c r="H49" s="89">
        <v>2725129245.237566</v>
      </c>
      <c r="I49" s="89">
        <v>15306.0423121929</v>
      </c>
      <c r="J49" s="89">
        <v>15939.172950000009</v>
      </c>
      <c r="K49" s="100">
        <f t="shared" si="2"/>
        <v>1.0687093596574595</v>
      </c>
      <c r="L49" s="165">
        <f t="shared" si="3"/>
        <v>1.0022481051974976</v>
      </c>
      <c r="M49" s="167"/>
      <c r="O49" s="160"/>
    </row>
    <row r="50" spans="1:20" ht="15" customHeight="1" thickBot="1" x14ac:dyDescent="0.3">
      <c r="A50">
        <v>10</v>
      </c>
      <c r="B50" s="93" t="s">
        <v>46</v>
      </c>
      <c r="C50" s="89">
        <v>1103894073.8020611</v>
      </c>
      <c r="D50" s="89">
        <v>1364303529.296864</v>
      </c>
      <c r="E50" s="89">
        <v>262847.49083312321</v>
      </c>
      <c r="F50" s="89">
        <v>244059.15411957921</v>
      </c>
      <c r="G50" s="89">
        <v>763348391.82915616</v>
      </c>
      <c r="H50" s="89">
        <v>1023796882.437372</v>
      </c>
      <c r="I50" s="89">
        <v>4199.7512333222221</v>
      </c>
      <c r="J50" s="89">
        <v>5590.0526829999999</v>
      </c>
      <c r="K50" s="100">
        <f t="shared" si="2"/>
        <v>1.3411921651974952</v>
      </c>
      <c r="L50" s="165">
        <f t="shared" si="3"/>
        <v>0.92852000734725537</v>
      </c>
      <c r="M50" s="167"/>
    </row>
    <row r="51" spans="1:20" s="6" customFormat="1" ht="29.45" customHeight="1" thickBot="1" x14ac:dyDescent="0.3">
      <c r="A51" s="6">
        <v>11</v>
      </c>
      <c r="B51" s="94" t="s">
        <v>47</v>
      </c>
      <c r="C51" s="95">
        <v>126605479658.22391</v>
      </c>
      <c r="D51" s="95">
        <v>128996554566.2471</v>
      </c>
      <c r="E51" s="95">
        <v>294918.00080635352</v>
      </c>
      <c r="F51" s="95">
        <v>294151.14872482017</v>
      </c>
      <c r="G51" s="95">
        <v>83345178642.458069</v>
      </c>
      <c r="H51" s="95">
        <v>86298039702.511551</v>
      </c>
      <c r="I51" s="95">
        <v>429290.44450343511</v>
      </c>
      <c r="J51" s="95">
        <v>438538.33352500008</v>
      </c>
      <c r="K51" s="96">
        <f t="shared" si="2"/>
        <v>1.0354292966689884</v>
      </c>
      <c r="L51" s="162">
        <f t="shared" si="3"/>
        <v>0.99739977865224694</v>
      </c>
      <c r="M51" s="168"/>
    </row>
    <row r="52" spans="1:20" ht="15.75" x14ac:dyDescent="0.25">
      <c r="A52">
        <v>12</v>
      </c>
      <c r="B52" s="88" t="s">
        <v>48</v>
      </c>
      <c r="C52" s="89">
        <v>34480614961.255798</v>
      </c>
      <c r="D52" s="89">
        <v>35040148864.69738</v>
      </c>
      <c r="E52" s="89">
        <v>328470.55954495212</v>
      </c>
      <c r="F52" s="89">
        <v>330657.60447531153</v>
      </c>
      <c r="G52" s="89">
        <v>21948990586.832458</v>
      </c>
      <c r="H52" s="89">
        <v>22465821373.141541</v>
      </c>
      <c r="I52" s="89">
        <v>104973.228069583</v>
      </c>
      <c r="J52" s="89">
        <v>105971.09635599999</v>
      </c>
      <c r="K52" s="100">
        <f t="shared" si="2"/>
        <v>1.0235469045496397</v>
      </c>
      <c r="L52" s="165">
        <f t="shared" si="3"/>
        <v>1.0066582677406135</v>
      </c>
      <c r="M52" s="167"/>
    </row>
    <row r="53" spans="1:20" ht="15.75" x14ac:dyDescent="0.25">
      <c r="A53">
        <v>13</v>
      </c>
      <c r="B53" s="92" t="s">
        <v>49</v>
      </c>
      <c r="C53" s="89">
        <v>34024880250.4034</v>
      </c>
      <c r="D53" s="89">
        <v>33506034147.95166</v>
      </c>
      <c r="E53" s="89">
        <v>322142.05625729938</v>
      </c>
      <c r="F53" s="89">
        <v>321466.07274307031</v>
      </c>
      <c r="G53" s="89">
        <v>19638899487.13282</v>
      </c>
      <c r="H53" s="89">
        <v>19551677861.773479</v>
      </c>
      <c r="I53" s="89">
        <v>105620.73342956269</v>
      </c>
      <c r="J53" s="89">
        <v>104228.83467</v>
      </c>
      <c r="K53" s="100">
        <f t="shared" si="2"/>
        <v>0.9955587315156591</v>
      </c>
      <c r="L53" s="165">
        <f t="shared" si="3"/>
        <v>0.99790159806489487</v>
      </c>
      <c r="M53" s="167"/>
    </row>
    <row r="54" spans="1:20" ht="15.75" x14ac:dyDescent="0.25">
      <c r="A54">
        <v>14</v>
      </c>
      <c r="B54" s="92" t="s">
        <v>51</v>
      </c>
      <c r="C54" s="89">
        <v>7100249202.8963776</v>
      </c>
      <c r="D54" s="89">
        <v>7060240054.0175285</v>
      </c>
      <c r="E54" s="89">
        <v>287822.16336914129</v>
      </c>
      <c r="F54" s="89">
        <v>290465.64003391459</v>
      </c>
      <c r="G54" s="89">
        <v>5167862498.1614923</v>
      </c>
      <c r="H54" s="89">
        <v>5195230693.6106586</v>
      </c>
      <c r="I54" s="89">
        <v>24668.875807837201</v>
      </c>
      <c r="J54" s="89">
        <v>24306.627294000002</v>
      </c>
      <c r="K54" s="100">
        <f t="shared" si="2"/>
        <v>1.0052958443571018</v>
      </c>
      <c r="L54" s="165">
        <f t="shared" si="3"/>
        <v>1.0091844096848892</v>
      </c>
      <c r="M54" s="167"/>
    </row>
    <row r="55" spans="1:20" ht="15.75" x14ac:dyDescent="0.25">
      <c r="A55">
        <v>15</v>
      </c>
      <c r="B55" s="92" t="s">
        <v>50</v>
      </c>
      <c r="C55" s="89">
        <v>4429149560.4563198</v>
      </c>
      <c r="D55" s="89">
        <v>4833696881.2325935</v>
      </c>
      <c r="E55" s="89">
        <v>303014.12120743922</v>
      </c>
      <c r="F55" s="89">
        <v>304076.97539555689</v>
      </c>
      <c r="G55" s="89">
        <v>3167956354.274848</v>
      </c>
      <c r="H55" s="89">
        <v>3525594007.5886259</v>
      </c>
      <c r="I55" s="89">
        <v>14616.974096148429</v>
      </c>
      <c r="J55" s="89">
        <v>15896.293610999999</v>
      </c>
      <c r="K55" s="100">
        <f t="shared" si="2"/>
        <v>1.1128922287174761</v>
      </c>
      <c r="L55" s="165">
        <f t="shared" si="3"/>
        <v>1.0035076061270096</v>
      </c>
      <c r="M55" s="167"/>
    </row>
    <row r="56" spans="1:20" ht="15" customHeight="1" thickBot="1" x14ac:dyDescent="0.3">
      <c r="A56">
        <v>16</v>
      </c>
      <c r="B56" s="93" t="s">
        <v>52</v>
      </c>
      <c r="C56" s="89">
        <f>SUM(C52:C55)</f>
        <v>80034893975.011887</v>
      </c>
      <c r="D56" s="89">
        <f>SUM(D52:D55)</f>
        <v>80440119947.899155</v>
      </c>
      <c r="E56" s="102">
        <f>C56/I56</f>
        <v>320293.55843354436</v>
      </c>
      <c r="F56" s="102">
        <f>D56/J56</f>
        <v>321242.82661950233</v>
      </c>
      <c r="G56" s="89">
        <f>SUM(G52:G55)</f>
        <v>49923708926.401619</v>
      </c>
      <c r="H56" s="89">
        <f>SUM(H52:H55)</f>
        <v>50738323936.114304</v>
      </c>
      <c r="I56" s="89">
        <f>SUM(I52:I55)</f>
        <v>249879.81140313132</v>
      </c>
      <c r="J56" s="89">
        <f>SUM(J52:J55)</f>
        <v>250402.85193100001</v>
      </c>
      <c r="K56" s="103">
        <f t="shared" si="2"/>
        <v>1.0163171973242935</v>
      </c>
      <c r="L56" s="166">
        <f t="shared" si="3"/>
        <v>1.0029637442307631</v>
      </c>
      <c r="M56" s="167"/>
    </row>
    <row r="58" spans="1:20" ht="15" customHeight="1" thickBot="1" x14ac:dyDescent="0.3">
      <c r="B58" s="82" t="s">
        <v>55</v>
      </c>
    </row>
    <row r="59" spans="1:20" s="83" customFormat="1" ht="15" customHeight="1" thickBot="1" x14ac:dyDescent="0.3">
      <c r="B59" s="84" t="s">
        <v>27</v>
      </c>
      <c r="C59" s="85" t="s">
        <v>28</v>
      </c>
      <c r="D59" s="85" t="s">
        <v>29</v>
      </c>
      <c r="E59" s="85" t="s">
        <v>30</v>
      </c>
      <c r="F59" s="85" t="s">
        <v>31</v>
      </c>
      <c r="G59" s="85" t="s">
        <v>32</v>
      </c>
      <c r="H59" s="85" t="s">
        <v>33</v>
      </c>
      <c r="I59" s="85" t="s">
        <v>34</v>
      </c>
      <c r="J59" s="85" t="s">
        <v>35</v>
      </c>
      <c r="K59" s="86" t="s">
        <v>36</v>
      </c>
      <c r="L59" s="87" t="s">
        <v>37</v>
      </c>
      <c r="M59" s="86" t="s">
        <v>56</v>
      </c>
      <c r="N59" s="105" t="s">
        <v>57</v>
      </c>
      <c r="O59" s="87" t="s">
        <v>58</v>
      </c>
      <c r="P59" s="86" t="s">
        <v>59</v>
      </c>
      <c r="Q59" s="105" t="s">
        <v>60</v>
      </c>
      <c r="R59" s="105" t="s">
        <v>72</v>
      </c>
      <c r="S59" s="167"/>
      <c r="T59" s="169"/>
    </row>
    <row r="60" spans="1:20" ht="15.75" x14ac:dyDescent="0.25">
      <c r="A60">
        <v>1</v>
      </c>
      <c r="B60" s="88" t="s">
        <v>21</v>
      </c>
      <c r="C60" s="89">
        <v>5531728333.578927</v>
      </c>
      <c r="D60" s="89">
        <v>5722513147.3449001</v>
      </c>
      <c r="E60" s="89">
        <v>243288.48603071459</v>
      </c>
      <c r="F60" s="89">
        <v>243230.2250345443</v>
      </c>
      <c r="G60" s="89">
        <v>3801903908.3698511</v>
      </c>
      <c r="H60" s="89">
        <v>3930190817.9795208</v>
      </c>
      <c r="I60" s="89">
        <v>22737.320716774739</v>
      </c>
      <c r="J60" s="89">
        <v>23527.146540000002</v>
      </c>
      <c r="K60" s="100">
        <f t="shared" ref="K60:K75" si="4">H60/G60</f>
        <v>1.0337428069466057</v>
      </c>
      <c r="L60" s="101">
        <f t="shared" ref="L60:L75" si="5">F60/E60</f>
        <v>0.99976052711280827</v>
      </c>
      <c r="M60" s="90"/>
      <c r="O60" s="91"/>
      <c r="P60" s="90"/>
      <c r="R60" s="161"/>
      <c r="S60" s="168"/>
      <c r="T60" s="161"/>
    </row>
    <row r="61" spans="1:20" ht="15.75" x14ac:dyDescent="0.25">
      <c r="A61">
        <v>2</v>
      </c>
      <c r="B61" s="92" t="s">
        <v>38</v>
      </c>
      <c r="C61" s="89">
        <v>25887293235.70483</v>
      </c>
      <c r="D61" s="89">
        <v>25772150539.867569</v>
      </c>
      <c r="E61" s="89">
        <v>302140.62880146049</v>
      </c>
      <c r="F61" s="89">
        <v>303858.0123632708</v>
      </c>
      <c r="G61" s="89">
        <v>16786195553.83762</v>
      </c>
      <c r="H61" s="89">
        <v>16598168561.750509</v>
      </c>
      <c r="I61" s="89">
        <v>85679.616602359092</v>
      </c>
      <c r="J61" s="89">
        <v>84816.425735900091</v>
      </c>
      <c r="K61" s="100">
        <f t="shared" si="4"/>
        <v>0.98879871311613998</v>
      </c>
      <c r="L61" s="101">
        <f t="shared" si="5"/>
        <v>1.0056840537091052</v>
      </c>
      <c r="M61" s="90"/>
      <c r="O61" s="91"/>
      <c r="P61" s="90"/>
      <c r="R61" s="161"/>
      <c r="S61" s="167"/>
      <c r="T61" s="161"/>
    </row>
    <row r="62" spans="1:20" ht="15" customHeight="1" x14ac:dyDescent="0.25">
      <c r="A62">
        <v>3</v>
      </c>
      <c r="B62" s="92" t="s">
        <v>39</v>
      </c>
      <c r="C62" s="89">
        <v>39033133468.757896</v>
      </c>
      <c r="D62" s="89">
        <v>41008799933.206749</v>
      </c>
      <c r="E62" s="89">
        <v>321633.07344217342</v>
      </c>
      <c r="F62" s="89">
        <v>322273.92237753549</v>
      </c>
      <c r="G62" s="89">
        <v>25237711707.1982</v>
      </c>
      <c r="H62" s="89">
        <v>26145328798.881561</v>
      </c>
      <c r="I62" s="89">
        <v>121359.2030540221</v>
      </c>
      <c r="J62" s="89">
        <v>127248.2726206001</v>
      </c>
      <c r="K62" s="100">
        <f t="shared" si="4"/>
        <v>1.0359627331595398</v>
      </c>
      <c r="L62" s="101">
        <f t="shared" si="5"/>
        <v>1.0019924845679071</v>
      </c>
      <c r="M62" s="90"/>
      <c r="O62" s="91"/>
      <c r="P62" s="90"/>
      <c r="R62" s="161"/>
      <c r="S62" s="167"/>
      <c r="T62" s="161"/>
    </row>
    <row r="63" spans="1:20" ht="15" customHeight="1" x14ac:dyDescent="0.25">
      <c r="A63">
        <v>4</v>
      </c>
      <c r="B63" s="92" t="s">
        <v>40</v>
      </c>
      <c r="C63" s="89">
        <v>39064986435.173508</v>
      </c>
      <c r="D63" s="89">
        <v>38387249190.441788</v>
      </c>
      <c r="E63" s="89">
        <v>281289.45081007812</v>
      </c>
      <c r="F63" s="89">
        <v>279681.81026483118</v>
      </c>
      <c r="G63" s="89">
        <v>25366348050.97403</v>
      </c>
      <c r="H63" s="89">
        <v>25493634341.00856</v>
      </c>
      <c r="I63" s="89">
        <v>138878.24915819379</v>
      </c>
      <c r="J63" s="89">
        <v>137253.29206820001</v>
      </c>
      <c r="K63" s="100">
        <f t="shared" si="4"/>
        <v>1.0050179194016713</v>
      </c>
      <c r="L63" s="101">
        <f t="shared" si="5"/>
        <v>0.99428474640404341</v>
      </c>
      <c r="M63" s="90"/>
      <c r="O63" s="91"/>
      <c r="P63" s="90"/>
      <c r="R63" s="161"/>
      <c r="S63" s="167"/>
      <c r="T63" s="161"/>
    </row>
    <row r="64" spans="1:20" ht="15.75" x14ac:dyDescent="0.25">
      <c r="A64">
        <v>5</v>
      </c>
      <c r="B64" s="92" t="s">
        <v>41</v>
      </c>
      <c r="C64" s="89">
        <v>31363293942.790661</v>
      </c>
      <c r="D64" s="89">
        <v>32231379532.868431</v>
      </c>
      <c r="E64" s="89">
        <v>300298.32964414719</v>
      </c>
      <c r="F64" s="89">
        <v>299612.13457182533</v>
      </c>
      <c r="G64" s="89">
        <v>20223911926.343941</v>
      </c>
      <c r="H64" s="89">
        <v>20947521799.438931</v>
      </c>
      <c r="I64" s="89">
        <v>104440.4541975178</v>
      </c>
      <c r="J64" s="89">
        <v>107577.0164614</v>
      </c>
      <c r="K64" s="100">
        <f t="shared" si="4"/>
        <v>1.0357799161571903</v>
      </c>
      <c r="L64" s="101">
        <f t="shared" si="5"/>
        <v>0.99771495541405442</v>
      </c>
      <c r="M64" s="90"/>
      <c r="O64" s="91"/>
      <c r="P64" s="90"/>
      <c r="R64" s="161"/>
      <c r="S64" s="167"/>
      <c r="T64" s="161"/>
    </row>
    <row r="65" spans="1:20" ht="15.75" x14ac:dyDescent="0.25">
      <c r="A65">
        <v>6</v>
      </c>
      <c r="B65" s="92" t="s">
        <v>42</v>
      </c>
      <c r="C65" s="89">
        <v>15824782777.47311</v>
      </c>
      <c r="D65" s="89">
        <v>16024483305.16786</v>
      </c>
      <c r="E65" s="89">
        <v>297056.50566868781</v>
      </c>
      <c r="F65" s="89">
        <v>299534.58118034771</v>
      </c>
      <c r="G65" s="89">
        <v>10549369205.51005</v>
      </c>
      <c r="H65" s="89">
        <v>10734741236.254009</v>
      </c>
      <c r="I65" s="89">
        <v>53271.961648679593</v>
      </c>
      <c r="J65" s="89">
        <v>53497.940845500023</v>
      </c>
      <c r="K65" s="100">
        <f t="shared" si="4"/>
        <v>1.0175718592394261</v>
      </c>
      <c r="L65" s="101">
        <f t="shared" si="5"/>
        <v>1.0083421014667955</v>
      </c>
      <c r="M65" s="90"/>
      <c r="O65" s="91"/>
      <c r="P65" s="90"/>
      <c r="R65" s="161"/>
      <c r="S65" s="167"/>
      <c r="T65" s="161"/>
    </row>
    <row r="66" spans="1:20" ht="15.75" x14ac:dyDescent="0.25">
      <c r="A66">
        <v>7</v>
      </c>
      <c r="B66" s="92" t="s">
        <v>43</v>
      </c>
      <c r="C66" s="89">
        <v>9610027969.7755451</v>
      </c>
      <c r="D66" s="89">
        <v>10345034022.67058</v>
      </c>
      <c r="E66" s="89">
        <v>269605.32289907231</v>
      </c>
      <c r="F66" s="89">
        <v>270583.76679249608</v>
      </c>
      <c r="G66" s="89">
        <v>7109195907.7456074</v>
      </c>
      <c r="H66" s="89">
        <v>7708744707.4835024</v>
      </c>
      <c r="I66" s="89">
        <v>35644.800579004492</v>
      </c>
      <c r="J66" s="89">
        <v>38232.278844000008</v>
      </c>
      <c r="K66" s="100">
        <f t="shared" si="4"/>
        <v>1.0843342633285256</v>
      </c>
      <c r="L66" s="101">
        <f t="shared" si="5"/>
        <v>1.0036291712748937</v>
      </c>
      <c r="M66" s="90"/>
      <c r="O66" s="91"/>
      <c r="P66" s="90"/>
      <c r="R66" s="161"/>
      <c r="S66" s="167"/>
      <c r="T66" s="161"/>
    </row>
    <row r="67" spans="1:20" ht="15.75" x14ac:dyDescent="0.25">
      <c r="A67">
        <v>8</v>
      </c>
      <c r="B67" s="92" t="s">
        <v>44</v>
      </c>
      <c r="C67" s="89">
        <v>9682802485.2179852</v>
      </c>
      <c r="D67" s="89">
        <v>7998082662.0638533</v>
      </c>
      <c r="E67" s="89">
        <v>281970.03450858378</v>
      </c>
      <c r="F67" s="89">
        <v>279175.33649261057</v>
      </c>
      <c r="G67" s="89">
        <v>6952879491.9023466</v>
      </c>
      <c r="H67" s="89">
        <v>5756977484.97264</v>
      </c>
      <c r="I67" s="89">
        <v>34339.827996592372</v>
      </c>
      <c r="J67" s="89">
        <v>28648.958617</v>
      </c>
      <c r="K67" s="100">
        <f t="shared" si="4"/>
        <v>0.8279990314340252</v>
      </c>
      <c r="L67" s="101">
        <f t="shared" si="5"/>
        <v>0.99008867016367963</v>
      </c>
      <c r="M67" s="90"/>
      <c r="O67" s="91"/>
      <c r="P67" s="90"/>
      <c r="R67" s="161"/>
      <c r="S67" s="167"/>
      <c r="T67" s="161"/>
    </row>
    <row r="68" spans="1:20" ht="15.75" x14ac:dyDescent="0.25">
      <c r="A68">
        <v>9</v>
      </c>
      <c r="B68" s="92" t="s">
        <v>45</v>
      </c>
      <c r="C68" s="89">
        <v>13209596112.34861</v>
      </c>
      <c r="D68" s="89">
        <v>13154398249.22537</v>
      </c>
      <c r="E68" s="89">
        <v>318918.84352995933</v>
      </c>
      <c r="F68" s="89">
        <v>312380.19214124721</v>
      </c>
      <c r="G68" s="89">
        <v>9053750849.0866508</v>
      </c>
      <c r="H68" s="89">
        <v>9007473756.4775219</v>
      </c>
      <c r="I68" s="89">
        <v>41419.929804516883</v>
      </c>
      <c r="J68" s="89">
        <v>42110.218830000013</v>
      </c>
      <c r="K68" s="100">
        <f t="shared" si="4"/>
        <v>0.99488862755552887</v>
      </c>
      <c r="L68" s="101">
        <f t="shared" si="5"/>
        <v>0.97949744418881335</v>
      </c>
      <c r="M68" s="90"/>
      <c r="O68" s="91"/>
      <c r="P68" s="90"/>
      <c r="R68" s="161"/>
      <c r="S68" s="167"/>
      <c r="T68" s="161"/>
    </row>
    <row r="69" spans="1:20" ht="15" customHeight="1" thickBot="1" x14ac:dyDescent="0.3">
      <c r="A69">
        <v>10</v>
      </c>
      <c r="B69" s="93" t="s">
        <v>46</v>
      </c>
      <c r="C69" s="89">
        <v>1632345969.9116709</v>
      </c>
      <c r="D69" s="89">
        <v>2004357617.054924</v>
      </c>
      <c r="E69" s="89">
        <v>276866.89024291473</v>
      </c>
      <c r="F69" s="89">
        <v>243701.37482005611</v>
      </c>
      <c r="G69" s="89">
        <v>1108628399.0317249</v>
      </c>
      <c r="H69" s="89">
        <v>1504731668.346525</v>
      </c>
      <c r="I69" s="89">
        <v>5895.778901115621</v>
      </c>
      <c r="J69" s="89">
        <v>8224.6463260000019</v>
      </c>
      <c r="K69" s="100">
        <f t="shared" si="4"/>
        <v>1.3572912886416733</v>
      </c>
      <c r="L69" s="101">
        <f t="shared" si="5"/>
        <v>0.88021133406829477</v>
      </c>
      <c r="M69" s="90"/>
      <c r="O69" s="91"/>
      <c r="P69" s="90"/>
      <c r="R69" s="161"/>
      <c r="S69" s="167"/>
      <c r="T69" s="161"/>
    </row>
    <row r="70" spans="1:20" s="6" customFormat="1" ht="29.45" customHeight="1" thickBot="1" x14ac:dyDescent="0.3">
      <c r="A70" s="6">
        <v>11</v>
      </c>
      <c r="B70" s="94" t="s">
        <v>47</v>
      </c>
      <c r="C70" s="95">
        <v>190839990730.7327</v>
      </c>
      <c r="D70" s="95">
        <v>192648448199.9118</v>
      </c>
      <c r="E70" s="95">
        <v>296488.6322182545</v>
      </c>
      <c r="F70" s="95">
        <v>295865.05729594879</v>
      </c>
      <c r="G70" s="95">
        <v>126189895000</v>
      </c>
      <c r="H70" s="95">
        <v>127827513172.5932</v>
      </c>
      <c r="I70" s="95">
        <v>643667.14265877649</v>
      </c>
      <c r="J70" s="95">
        <v>651136.19688859989</v>
      </c>
      <c r="K70" s="96">
        <f t="shared" si="4"/>
        <v>1.012977411325948</v>
      </c>
      <c r="L70" s="97">
        <f t="shared" si="5"/>
        <v>0.99789679989536095</v>
      </c>
      <c r="M70" s="95">
        <v>37141</v>
      </c>
      <c r="N70" s="106">
        <v>39961</v>
      </c>
      <c r="O70" s="97">
        <f>N70/M70</f>
        <v>1.0759268732667402</v>
      </c>
      <c r="P70" s="95">
        <v>40439</v>
      </c>
      <c r="Q70" s="106">
        <v>40933</v>
      </c>
      <c r="R70" s="162">
        <f>Q70/P70</f>
        <v>1.0122159301664235</v>
      </c>
      <c r="S70" s="168"/>
      <c r="T70" s="170"/>
    </row>
    <row r="71" spans="1:20" ht="15.75" x14ac:dyDescent="0.25">
      <c r="A71">
        <v>12</v>
      </c>
      <c r="B71" s="88" t="s">
        <v>48</v>
      </c>
      <c r="C71" s="89">
        <v>51757772702.996872</v>
      </c>
      <c r="D71" s="89">
        <v>52905286701.472458</v>
      </c>
      <c r="E71" s="89">
        <v>329493.68063882372</v>
      </c>
      <c r="F71" s="89">
        <v>331338.21313586831</v>
      </c>
      <c r="G71" s="89">
        <v>33056124115.70142</v>
      </c>
      <c r="H71" s="89">
        <v>33788296905.055</v>
      </c>
      <c r="I71" s="89">
        <v>157082.7476953388</v>
      </c>
      <c r="J71" s="89">
        <v>159671.5519189999</v>
      </c>
      <c r="K71" s="100">
        <f t="shared" si="4"/>
        <v>1.0221493840835927</v>
      </c>
      <c r="L71" s="101">
        <f t="shared" si="5"/>
        <v>1.0055980815579479</v>
      </c>
      <c r="M71" s="90"/>
      <c r="O71" s="91"/>
      <c r="P71" s="90"/>
      <c r="R71" s="161"/>
      <c r="S71" s="167"/>
      <c r="T71" s="161"/>
    </row>
    <row r="72" spans="1:20" ht="15.75" x14ac:dyDescent="0.25">
      <c r="A72">
        <v>13</v>
      </c>
      <c r="B72" s="92" t="s">
        <v>49</v>
      </c>
      <c r="C72" s="89">
        <v>51175940436.793243</v>
      </c>
      <c r="D72" s="89">
        <v>49985677539.201103</v>
      </c>
      <c r="E72" s="89">
        <v>323820.57736147032</v>
      </c>
      <c r="F72" s="89">
        <v>322569.15207353811</v>
      </c>
      <c r="G72" s="89">
        <v>29721126093.8307</v>
      </c>
      <c r="H72" s="89">
        <v>28993285879.456459</v>
      </c>
      <c r="I72" s="89">
        <v>158037.95068794291</v>
      </c>
      <c r="J72" s="89">
        <v>154961.12141499991</v>
      </c>
      <c r="K72" s="100">
        <f t="shared" si="4"/>
        <v>0.97551101488966396</v>
      </c>
      <c r="L72" s="101">
        <f t="shared" si="5"/>
        <v>0.99613543617848821</v>
      </c>
      <c r="M72" s="90"/>
      <c r="O72" s="91"/>
      <c r="P72" s="90"/>
      <c r="R72" s="161"/>
      <c r="S72" s="167"/>
      <c r="T72" s="161"/>
    </row>
    <row r="73" spans="1:20" ht="15.75" x14ac:dyDescent="0.25">
      <c r="A73">
        <v>14</v>
      </c>
      <c r="B73" s="92" t="s">
        <v>50</v>
      </c>
      <c r="C73" s="89">
        <v>6603039091.5535774</v>
      </c>
      <c r="D73" s="89">
        <v>7124194665.742135</v>
      </c>
      <c r="E73" s="89">
        <v>304212.50262109691</v>
      </c>
      <c r="F73" s="89">
        <v>307586.90861289093</v>
      </c>
      <c r="G73" s="89">
        <v>4778156883.8152866</v>
      </c>
      <c r="H73" s="89">
        <v>5160048414.3100338</v>
      </c>
      <c r="I73" s="89">
        <v>21705.350814518632</v>
      </c>
      <c r="J73" s="89">
        <v>23161.56658900002</v>
      </c>
      <c r="K73" s="100">
        <f t="shared" si="4"/>
        <v>1.0799244436255957</v>
      </c>
      <c r="L73" s="101">
        <f t="shared" si="5"/>
        <v>1.011092265974344</v>
      </c>
      <c r="M73" s="90"/>
      <c r="O73" s="91"/>
      <c r="P73" s="90"/>
      <c r="R73" s="161"/>
      <c r="S73" s="167"/>
      <c r="T73" s="161"/>
    </row>
    <row r="74" spans="1:20" ht="15.75" x14ac:dyDescent="0.25">
      <c r="A74">
        <v>15</v>
      </c>
      <c r="B74" s="92" t="s">
        <v>51</v>
      </c>
      <c r="C74" s="89">
        <v>10538999654.257351</v>
      </c>
      <c r="D74" s="89">
        <v>10398141898.22641</v>
      </c>
      <c r="E74" s="89">
        <v>290538.88454409642</v>
      </c>
      <c r="F74" s="89">
        <v>292173.65985430247</v>
      </c>
      <c r="G74" s="89">
        <v>7666912091.2996349</v>
      </c>
      <c r="H74" s="89">
        <v>7591578187.2053709</v>
      </c>
      <c r="I74" s="89">
        <v>36273.973002941719</v>
      </c>
      <c r="J74" s="89">
        <v>35588.909360999991</v>
      </c>
      <c r="K74" s="100">
        <f t="shared" si="4"/>
        <v>0.99017415314051238</v>
      </c>
      <c r="L74" s="101">
        <f t="shared" si="5"/>
        <v>1.0056267005801005</v>
      </c>
      <c r="M74" s="90"/>
      <c r="O74" s="91"/>
      <c r="P74" s="90"/>
      <c r="R74" s="161"/>
      <c r="S74" s="167"/>
      <c r="T74" s="161"/>
    </row>
    <row r="75" spans="1:20" ht="15" customHeight="1" thickBot="1" x14ac:dyDescent="0.3">
      <c r="A75">
        <v>16</v>
      </c>
      <c r="B75" s="93" t="s">
        <v>52</v>
      </c>
      <c r="C75" s="89">
        <f>SUM(C71:C74)</f>
        <v>120075751885.60104</v>
      </c>
      <c r="D75" s="89">
        <f>SUM(D71:D74)</f>
        <v>120413300804.64211</v>
      </c>
      <c r="E75" s="102">
        <f>C75/I75</f>
        <v>321832.60450463259</v>
      </c>
      <c r="F75" s="102">
        <f>D75/J75</f>
        <v>322492.59516811848</v>
      </c>
      <c r="G75" s="89">
        <f>SUM(G71:G74)</f>
        <v>75222319184.647034</v>
      </c>
      <c r="H75" s="89">
        <f>SUM(H71:H74)</f>
        <v>75533209386.026871</v>
      </c>
      <c r="I75" s="89">
        <f>SUM(I71:I74)</f>
        <v>373100.02220074204</v>
      </c>
      <c r="J75" s="89">
        <f>SUM(J71:J74)</f>
        <v>373383.14928399981</v>
      </c>
      <c r="K75" s="103">
        <f t="shared" si="4"/>
        <v>1.0041329515594528</v>
      </c>
      <c r="L75" s="104">
        <f t="shared" si="5"/>
        <v>1.0020507265399718</v>
      </c>
      <c r="M75" s="98"/>
      <c r="N75" s="107"/>
      <c r="O75" s="99"/>
      <c r="P75" s="98"/>
      <c r="Q75" s="107"/>
      <c r="R75" s="107"/>
      <c r="S75" s="167"/>
      <c r="T75" s="1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86"/>
  <sheetViews>
    <sheetView zoomScale="85" zoomScaleNormal="85" workbookViewId="0">
      <selection activeCell="I20" sqref="I20"/>
    </sheetView>
  </sheetViews>
  <sheetFormatPr defaultRowHeight="15" x14ac:dyDescent="0.25"/>
  <cols>
    <col min="3" max="3" width="12.85546875" customWidth="1"/>
    <col min="4" max="4" width="13.85546875" bestFit="1" customWidth="1"/>
    <col min="5" max="6" width="14.42578125" bestFit="1" customWidth="1"/>
    <col min="7" max="7" width="10.42578125" bestFit="1" customWidth="1"/>
    <col min="8" max="8" width="12.5703125" bestFit="1" customWidth="1"/>
    <col min="9" max="9" width="14.42578125" bestFit="1" customWidth="1"/>
    <col min="10" max="17" width="11.85546875" customWidth="1"/>
  </cols>
  <sheetData>
    <row r="1" spans="2:36" ht="15" customHeight="1" thickBot="1" x14ac:dyDescent="0.3"/>
    <row r="2" spans="2:36" ht="15" customHeight="1" thickBot="1" x14ac:dyDescent="0.3">
      <c r="B2" s="6"/>
      <c r="C2" s="6"/>
      <c r="D2" s="178" t="s">
        <v>62</v>
      </c>
      <c r="E2" s="179"/>
      <c r="F2" s="179"/>
      <c r="G2" s="179"/>
      <c r="H2" s="179"/>
      <c r="I2" s="180"/>
      <c r="J2" s="178" t="s">
        <v>63</v>
      </c>
      <c r="K2" s="179"/>
      <c r="L2" s="179"/>
      <c r="M2" s="179"/>
      <c r="N2" s="179"/>
      <c r="O2" s="179"/>
      <c r="P2" s="179"/>
      <c r="Q2" s="180"/>
    </row>
    <row r="3" spans="2:36" x14ac:dyDescent="0.25">
      <c r="C3" s="177" t="s">
        <v>64</v>
      </c>
      <c r="D3" s="171" t="s">
        <v>65</v>
      </c>
      <c r="E3" s="172"/>
      <c r="F3" s="171" t="s">
        <v>25</v>
      </c>
      <c r="G3" s="172"/>
      <c r="H3" s="187">
        <v>1</v>
      </c>
      <c r="I3" s="172"/>
      <c r="J3" s="171" t="s">
        <v>65</v>
      </c>
      <c r="K3" s="172"/>
      <c r="L3" s="171" t="s">
        <v>25</v>
      </c>
      <c r="M3" s="172"/>
      <c r="N3" s="171" t="s">
        <v>66</v>
      </c>
      <c r="O3" s="172"/>
      <c r="P3" s="173" t="s">
        <v>24</v>
      </c>
      <c r="Q3" s="172"/>
    </row>
    <row r="4" spans="2:36" ht="15" customHeight="1" thickBot="1" x14ac:dyDescent="0.3">
      <c r="C4" s="176"/>
      <c r="D4" s="108" t="s">
        <v>9</v>
      </c>
      <c r="E4" s="109" t="s">
        <v>11</v>
      </c>
      <c r="F4" s="108" t="s">
        <v>9</v>
      </c>
      <c r="G4" s="109" t="s">
        <v>11</v>
      </c>
      <c r="H4" s="110" t="s">
        <v>9</v>
      </c>
      <c r="I4" s="109" t="s">
        <v>11</v>
      </c>
      <c r="J4" s="108" t="s">
        <v>9</v>
      </c>
      <c r="K4" s="109" t="s">
        <v>11</v>
      </c>
      <c r="L4" s="108" t="s">
        <v>9</v>
      </c>
      <c r="M4" s="109" t="s">
        <v>11</v>
      </c>
      <c r="N4" s="108" t="s">
        <v>9</v>
      </c>
      <c r="O4" s="109" t="s">
        <v>11</v>
      </c>
      <c r="P4" s="110" t="s">
        <v>9</v>
      </c>
      <c r="Q4" s="109" t="s">
        <v>11</v>
      </c>
      <c r="AB4" s="7" t="s">
        <v>6</v>
      </c>
      <c r="AC4" s="8" t="s">
        <v>7</v>
      </c>
      <c r="AD4" s="8"/>
      <c r="AE4" s="9" t="s">
        <v>3</v>
      </c>
      <c r="AG4" s="7" t="s">
        <v>6</v>
      </c>
      <c r="AH4" s="8" t="s">
        <v>7</v>
      </c>
      <c r="AI4" s="8"/>
      <c r="AJ4" s="10" t="s">
        <v>4</v>
      </c>
    </row>
    <row r="5" spans="2:36" ht="14.45" customHeight="1" thickBot="1" x14ac:dyDescent="0.3">
      <c r="B5" s="174" t="s">
        <v>67</v>
      </c>
      <c r="C5" s="88" t="s">
        <v>21</v>
      </c>
      <c r="D5" s="111">
        <v>1.0337000000000001</v>
      </c>
      <c r="E5" s="112">
        <v>0.1</v>
      </c>
      <c r="F5" s="111">
        <v>0.99980000000000002</v>
      </c>
      <c r="G5" s="112">
        <v>0.09</v>
      </c>
      <c r="H5" s="113">
        <f>I5/30%</f>
        <v>1.2200000000000002</v>
      </c>
      <c r="I5" s="114">
        <f>E5+G5+$E$20+$G$20</f>
        <v>0.36600000000000005</v>
      </c>
      <c r="J5" s="148">
        <v>1.0337000000000001</v>
      </c>
      <c r="K5" s="150">
        <v>0</v>
      </c>
      <c r="L5" s="148">
        <v>0.99980000000000002</v>
      </c>
      <c r="M5" s="150">
        <v>0</v>
      </c>
      <c r="N5" s="184">
        <v>1.0759000000000001</v>
      </c>
      <c r="O5" s="181">
        <v>7.0000000000000007E-2</v>
      </c>
      <c r="P5" s="113">
        <f t="shared" ref="P5:P20" si="0">Q5/30%</f>
        <v>1.5533333333333335</v>
      </c>
      <c r="Q5" s="115">
        <f>I5+$K$20+$M$20+$O$5</f>
        <v>0.46600000000000003</v>
      </c>
      <c r="AB5" s="18" t="s">
        <v>8</v>
      </c>
      <c r="AC5" s="19" t="s">
        <v>9</v>
      </c>
      <c r="AD5" s="20" t="s">
        <v>10</v>
      </c>
      <c r="AE5" s="21" t="s">
        <v>11</v>
      </c>
      <c r="AG5" s="18" t="s">
        <v>8</v>
      </c>
      <c r="AH5" s="19" t="s">
        <v>9</v>
      </c>
      <c r="AI5" s="20" t="s">
        <v>10</v>
      </c>
      <c r="AJ5" s="21" t="s">
        <v>11</v>
      </c>
    </row>
    <row r="6" spans="2:36" ht="14.45" customHeight="1" thickBot="1" x14ac:dyDescent="0.3">
      <c r="B6" s="175"/>
      <c r="C6" s="92" t="s">
        <v>38</v>
      </c>
      <c r="D6" s="116"/>
      <c r="E6" s="117"/>
      <c r="F6" s="116"/>
      <c r="G6" s="118"/>
      <c r="H6" s="113">
        <f t="shared" ref="H6:H19" si="1">I6/30%</f>
        <v>0.58666666666666667</v>
      </c>
      <c r="I6" s="114">
        <f t="shared" ref="I6:I18" si="2">E6+G6+$E$20+$G$20</f>
        <v>0.17599999999999999</v>
      </c>
      <c r="J6" s="149"/>
      <c r="K6" s="151"/>
      <c r="L6" s="149"/>
      <c r="M6" s="151"/>
      <c r="N6" s="185"/>
      <c r="O6" s="182"/>
      <c r="P6" s="119">
        <f t="shared" si="0"/>
        <v>0.92000000000000015</v>
      </c>
      <c r="Q6" s="115">
        <f t="shared" ref="Q6:Q19" si="3">I6+$K$20+$M$20+$O$5</f>
        <v>0.27600000000000002</v>
      </c>
      <c r="AB6" s="27">
        <v>121.1422992</v>
      </c>
      <c r="AC6" s="28">
        <v>0.96</v>
      </c>
      <c r="AD6" s="29">
        <v>0.25</v>
      </c>
      <c r="AE6" s="30">
        <v>1.2500000000000001E-2</v>
      </c>
      <c r="AG6" s="27">
        <v>126.18989500000001</v>
      </c>
      <c r="AH6" s="28">
        <v>1</v>
      </c>
      <c r="AI6" s="29">
        <v>0</v>
      </c>
      <c r="AJ6" s="30">
        <v>0</v>
      </c>
    </row>
    <row r="7" spans="2:36" ht="14.45" customHeight="1" thickBot="1" x14ac:dyDescent="0.3">
      <c r="B7" s="175"/>
      <c r="C7" s="92" t="s">
        <v>39</v>
      </c>
      <c r="D7" s="116"/>
      <c r="E7" s="118"/>
      <c r="F7" s="116"/>
      <c r="G7" s="118"/>
      <c r="H7" s="113">
        <f t="shared" si="1"/>
        <v>0.58666666666666667</v>
      </c>
      <c r="I7" s="114">
        <f t="shared" si="2"/>
        <v>0.17599999999999999</v>
      </c>
      <c r="J7" s="149"/>
      <c r="K7" s="151"/>
      <c r="L7" s="149"/>
      <c r="M7" s="151"/>
      <c r="N7" s="185"/>
      <c r="O7" s="182"/>
      <c r="P7" s="119">
        <f t="shared" si="0"/>
        <v>0.92000000000000015</v>
      </c>
      <c r="Q7" s="115">
        <f t="shared" si="3"/>
        <v>0.27600000000000002</v>
      </c>
      <c r="AB7" s="31">
        <v>121.64705877999999</v>
      </c>
      <c r="AC7" s="32">
        <v>0.96399999999999986</v>
      </c>
      <c r="AD7" s="33">
        <v>0.32464454976303281</v>
      </c>
      <c r="AE7" s="34">
        <v>1.6232227488151642E-2</v>
      </c>
      <c r="AG7" s="31">
        <v>126.61290550000001</v>
      </c>
      <c r="AH7" s="32">
        <v>1.0033521741182208</v>
      </c>
      <c r="AI7" s="33">
        <v>0.1</v>
      </c>
      <c r="AJ7" s="34">
        <v>1.0000000000000002E-2</v>
      </c>
    </row>
    <row r="8" spans="2:36" ht="15.6" customHeight="1" thickBot="1" x14ac:dyDescent="0.3">
      <c r="B8" s="175"/>
      <c r="C8" s="120" t="s">
        <v>40</v>
      </c>
      <c r="D8" s="121"/>
      <c r="E8" s="122"/>
      <c r="F8" s="121"/>
      <c r="G8" s="123"/>
      <c r="H8" s="113">
        <f t="shared" si="1"/>
        <v>0.58666666666666667</v>
      </c>
      <c r="I8" s="114">
        <f t="shared" si="2"/>
        <v>0.17599999999999999</v>
      </c>
      <c r="J8" s="149"/>
      <c r="K8" s="151"/>
      <c r="L8" s="149"/>
      <c r="M8" s="151"/>
      <c r="N8" s="185"/>
      <c r="O8" s="182"/>
      <c r="P8" s="124">
        <f t="shared" si="0"/>
        <v>0.92000000000000015</v>
      </c>
      <c r="Q8" s="115">
        <f t="shared" si="3"/>
        <v>0.27600000000000002</v>
      </c>
      <c r="AB8" s="31">
        <v>122.15181835999999</v>
      </c>
      <c r="AC8" s="32">
        <v>0.96799999999999986</v>
      </c>
      <c r="AD8" s="33">
        <v>0.39928909952606562</v>
      </c>
      <c r="AE8" s="34">
        <v>1.9964454976303281E-2</v>
      </c>
      <c r="AG8" s="31">
        <v>127.03591600000001</v>
      </c>
      <c r="AH8" s="32">
        <v>1.0067043482364417</v>
      </c>
      <c r="AI8" s="33">
        <v>0.2</v>
      </c>
      <c r="AJ8" s="34">
        <v>2.0000000000000004E-2</v>
      </c>
    </row>
    <row r="9" spans="2:36" ht="14.45" customHeight="1" thickBot="1" x14ac:dyDescent="0.3">
      <c r="B9" s="175"/>
      <c r="C9" s="92" t="s">
        <v>41</v>
      </c>
      <c r="D9" s="116"/>
      <c r="E9" s="118"/>
      <c r="F9" s="116"/>
      <c r="G9" s="125"/>
      <c r="H9" s="113">
        <f t="shared" si="1"/>
        <v>0.58666666666666667</v>
      </c>
      <c r="I9" s="114">
        <f t="shared" si="2"/>
        <v>0.17599999999999999</v>
      </c>
      <c r="J9" s="149"/>
      <c r="K9" s="151"/>
      <c r="L9" s="149"/>
      <c r="M9" s="151"/>
      <c r="N9" s="185"/>
      <c r="O9" s="182"/>
      <c r="P9" s="119">
        <f t="shared" si="0"/>
        <v>0.92000000000000015</v>
      </c>
      <c r="Q9" s="115">
        <f t="shared" si="3"/>
        <v>0.27600000000000002</v>
      </c>
      <c r="AB9" s="31">
        <v>122.65657793999999</v>
      </c>
      <c r="AC9" s="32">
        <v>0.97199999999999986</v>
      </c>
      <c r="AD9" s="33">
        <v>0.47393364928910042</v>
      </c>
      <c r="AE9" s="34">
        <v>2.3696682464455023E-2</v>
      </c>
      <c r="AG9" s="31">
        <v>127.45892650000002</v>
      </c>
      <c r="AH9" s="32">
        <v>1.0100565223546625</v>
      </c>
      <c r="AI9" s="33">
        <v>0.3</v>
      </c>
      <c r="AJ9" s="34">
        <v>0.03</v>
      </c>
    </row>
    <row r="10" spans="2:36" ht="14.45" customHeight="1" thickBot="1" x14ac:dyDescent="0.3">
      <c r="B10" s="175"/>
      <c r="C10" s="92" t="s">
        <v>42</v>
      </c>
      <c r="D10" s="116"/>
      <c r="E10" s="118"/>
      <c r="F10" s="116"/>
      <c r="G10" s="118"/>
      <c r="H10" s="113">
        <f t="shared" si="1"/>
        <v>0.58666666666666667</v>
      </c>
      <c r="I10" s="114">
        <f t="shared" si="2"/>
        <v>0.17599999999999999</v>
      </c>
      <c r="J10" s="149"/>
      <c r="K10" s="151"/>
      <c r="L10" s="149"/>
      <c r="M10" s="151"/>
      <c r="N10" s="185"/>
      <c r="O10" s="182"/>
      <c r="P10" s="119">
        <f t="shared" si="0"/>
        <v>0.92000000000000015</v>
      </c>
      <c r="Q10" s="115">
        <f t="shared" si="3"/>
        <v>0.27600000000000002</v>
      </c>
      <c r="AB10" s="31">
        <v>123.16133751999999</v>
      </c>
      <c r="AC10" s="32">
        <v>0.97599999999999987</v>
      </c>
      <c r="AD10" s="33">
        <v>0.55035545023696719</v>
      </c>
      <c r="AE10" s="34">
        <v>2.7517772511848362E-2</v>
      </c>
      <c r="AG10" s="31">
        <v>127.88193700000002</v>
      </c>
      <c r="AH10" s="32">
        <v>1.0134086964728832</v>
      </c>
      <c r="AI10" s="33">
        <v>0.4</v>
      </c>
      <c r="AJ10" s="34">
        <v>4.0000000000000008E-2</v>
      </c>
    </row>
    <row r="11" spans="2:36" ht="15" customHeight="1" thickBot="1" x14ac:dyDescent="0.3">
      <c r="B11" s="176"/>
      <c r="C11" s="126" t="s">
        <v>43</v>
      </c>
      <c r="D11" s="127"/>
      <c r="E11" s="128"/>
      <c r="F11" s="127"/>
      <c r="G11" s="128"/>
      <c r="H11" s="113">
        <f t="shared" si="1"/>
        <v>0.58666666666666667</v>
      </c>
      <c r="I11" s="114">
        <f t="shared" si="2"/>
        <v>0.17599999999999999</v>
      </c>
      <c r="J11" s="149"/>
      <c r="K11" s="151"/>
      <c r="L11" s="149"/>
      <c r="M11" s="151"/>
      <c r="N11" s="185"/>
      <c r="O11" s="182"/>
      <c r="P11" s="129">
        <f t="shared" si="0"/>
        <v>0.92000000000000015</v>
      </c>
      <c r="Q11" s="115">
        <f t="shared" si="3"/>
        <v>0.27600000000000002</v>
      </c>
      <c r="AB11" s="31">
        <v>123.66609709999999</v>
      </c>
      <c r="AC11" s="32">
        <v>0.97999999999999987</v>
      </c>
      <c r="AD11" s="33">
        <v>0.625</v>
      </c>
      <c r="AE11" s="34">
        <v>3.125E-2</v>
      </c>
      <c r="AG11" s="31">
        <v>128.30494750000003</v>
      </c>
      <c r="AH11" s="32">
        <v>1.0167608705911042</v>
      </c>
      <c r="AI11" s="33">
        <v>0.5</v>
      </c>
      <c r="AJ11" s="34">
        <v>0.05</v>
      </c>
    </row>
    <row r="12" spans="2:36" ht="14.45" customHeight="1" thickBot="1" x14ac:dyDescent="0.3">
      <c r="B12" s="174" t="s">
        <v>68</v>
      </c>
      <c r="C12" s="130" t="s">
        <v>48</v>
      </c>
      <c r="D12" s="111"/>
      <c r="E12" s="112"/>
      <c r="F12" s="111"/>
      <c r="G12" s="112"/>
      <c r="H12" s="113">
        <f t="shared" si="1"/>
        <v>0.58666666666666667</v>
      </c>
      <c r="I12" s="114">
        <f t="shared" si="2"/>
        <v>0.17599999999999999</v>
      </c>
      <c r="J12" s="149"/>
      <c r="K12" s="151"/>
      <c r="L12" s="149"/>
      <c r="M12" s="151"/>
      <c r="N12" s="185"/>
      <c r="O12" s="182"/>
      <c r="P12" s="131">
        <f t="shared" si="0"/>
        <v>0.92000000000000015</v>
      </c>
      <c r="Q12" s="115">
        <f t="shared" si="3"/>
        <v>0.27600000000000002</v>
      </c>
      <c r="AB12" s="31">
        <v>124.17085667999999</v>
      </c>
      <c r="AC12" s="32">
        <v>0.98399999999999987</v>
      </c>
      <c r="AD12" s="33">
        <v>0.69964454976303281</v>
      </c>
      <c r="AE12" s="34">
        <v>3.4982227488151642E-2</v>
      </c>
      <c r="AG12" s="31">
        <v>128.72795800000003</v>
      </c>
      <c r="AH12" s="32">
        <v>1.020113044709325</v>
      </c>
      <c r="AI12" s="33">
        <v>0.6</v>
      </c>
      <c r="AJ12" s="34">
        <v>0.06</v>
      </c>
    </row>
    <row r="13" spans="2:36" ht="14.45" customHeight="1" thickBot="1" x14ac:dyDescent="0.3">
      <c r="B13" s="175"/>
      <c r="C13" s="132" t="s">
        <v>49</v>
      </c>
      <c r="D13" s="116"/>
      <c r="E13" s="117"/>
      <c r="F13" s="116"/>
      <c r="G13" s="117"/>
      <c r="H13" s="113">
        <f t="shared" si="1"/>
        <v>0.58666666666666667</v>
      </c>
      <c r="I13" s="114">
        <f t="shared" si="2"/>
        <v>0.17599999999999999</v>
      </c>
      <c r="J13" s="149"/>
      <c r="K13" s="151"/>
      <c r="L13" s="149"/>
      <c r="M13" s="151"/>
      <c r="N13" s="185"/>
      <c r="O13" s="182"/>
      <c r="P13" s="119">
        <f t="shared" si="0"/>
        <v>0.92000000000000015</v>
      </c>
      <c r="Q13" s="115">
        <f t="shared" si="3"/>
        <v>0.27600000000000002</v>
      </c>
      <c r="AB13" s="31">
        <v>124.67561625999998</v>
      </c>
      <c r="AC13" s="32">
        <v>0.98799999999999977</v>
      </c>
      <c r="AD13" s="33">
        <v>0.77428909952606562</v>
      </c>
      <c r="AE13" s="34">
        <v>3.8714454976303284E-2</v>
      </c>
      <c r="AG13" s="31">
        <v>129.15096850000003</v>
      </c>
      <c r="AH13" s="32">
        <v>1.0234652188275457</v>
      </c>
      <c r="AI13" s="33">
        <v>0.7</v>
      </c>
      <c r="AJ13" s="34">
        <v>6.9999999999999993E-2</v>
      </c>
    </row>
    <row r="14" spans="2:36" ht="14.45" customHeight="1" thickBot="1" x14ac:dyDescent="0.3">
      <c r="B14" s="175"/>
      <c r="C14" s="132" t="s">
        <v>50</v>
      </c>
      <c r="D14" s="116"/>
      <c r="E14" s="118"/>
      <c r="F14" s="116"/>
      <c r="G14" s="118"/>
      <c r="H14" s="113">
        <f t="shared" si="1"/>
        <v>0.58666666666666667</v>
      </c>
      <c r="I14" s="114">
        <f t="shared" si="2"/>
        <v>0.17599999999999999</v>
      </c>
      <c r="J14" s="149"/>
      <c r="K14" s="151"/>
      <c r="L14" s="149"/>
      <c r="M14" s="151"/>
      <c r="N14" s="185"/>
      <c r="O14" s="182"/>
      <c r="P14" s="119">
        <f t="shared" si="0"/>
        <v>0.92000000000000015</v>
      </c>
      <c r="Q14" s="115">
        <f t="shared" si="3"/>
        <v>0.27600000000000002</v>
      </c>
      <c r="AB14" s="31">
        <v>125.18037583999998</v>
      </c>
      <c r="AC14" s="32">
        <v>0.99199999999999977</v>
      </c>
      <c r="AD14" s="33">
        <v>0.85071090047393438</v>
      </c>
      <c r="AE14" s="34">
        <v>4.2535545023696719E-2</v>
      </c>
      <c r="AG14" s="31">
        <v>129.57397900000004</v>
      </c>
      <c r="AH14" s="32">
        <v>1.0268173929457667</v>
      </c>
      <c r="AI14" s="33">
        <v>0.8</v>
      </c>
      <c r="AJ14" s="34">
        <v>8.0000000000000016E-2</v>
      </c>
    </row>
    <row r="15" spans="2:36" ht="14.45" customHeight="1" thickBot="1" x14ac:dyDescent="0.3">
      <c r="B15" s="175"/>
      <c r="C15" s="132" t="s">
        <v>51</v>
      </c>
      <c r="D15" s="116"/>
      <c r="E15" s="117"/>
      <c r="F15" s="116"/>
      <c r="G15" s="118"/>
      <c r="H15" s="113">
        <f t="shared" si="1"/>
        <v>0.58666666666666667</v>
      </c>
      <c r="I15" s="114">
        <f t="shared" si="2"/>
        <v>0.17599999999999999</v>
      </c>
      <c r="J15" s="149"/>
      <c r="K15" s="151"/>
      <c r="L15" s="149"/>
      <c r="M15" s="151"/>
      <c r="N15" s="185"/>
      <c r="O15" s="182"/>
      <c r="P15" s="119">
        <f t="shared" si="0"/>
        <v>0.92000000000000015</v>
      </c>
      <c r="Q15" s="115">
        <f t="shared" si="3"/>
        <v>0.27600000000000002</v>
      </c>
      <c r="AB15" s="31">
        <v>125.68513541999998</v>
      </c>
      <c r="AC15" s="32">
        <v>0.99599999999999977</v>
      </c>
      <c r="AD15" s="33">
        <v>0.92535545023696719</v>
      </c>
      <c r="AE15" s="34">
        <v>4.6267772511848361E-2</v>
      </c>
      <c r="AG15" s="31">
        <v>129.99698950000004</v>
      </c>
      <c r="AH15" s="32">
        <v>1.0301695670639874</v>
      </c>
      <c r="AI15" s="33">
        <v>0.9</v>
      </c>
      <c r="AJ15" s="34">
        <v>9.0000000000000011E-2</v>
      </c>
    </row>
    <row r="16" spans="2:36" ht="14.45" customHeight="1" thickBot="1" x14ac:dyDescent="0.3">
      <c r="B16" s="175"/>
      <c r="C16" s="132" t="s">
        <v>44</v>
      </c>
      <c r="D16" s="116"/>
      <c r="E16" s="117"/>
      <c r="F16" s="116"/>
      <c r="G16" s="117"/>
      <c r="H16" s="113">
        <f t="shared" si="1"/>
        <v>0.58666666666666667</v>
      </c>
      <c r="I16" s="114">
        <f t="shared" si="2"/>
        <v>0.17599999999999999</v>
      </c>
      <c r="J16" s="149"/>
      <c r="K16" s="151"/>
      <c r="L16" s="149"/>
      <c r="M16" s="151"/>
      <c r="N16" s="185"/>
      <c r="O16" s="182"/>
      <c r="P16" s="119">
        <f t="shared" si="0"/>
        <v>0.92000000000000015</v>
      </c>
      <c r="Q16" s="115">
        <f t="shared" si="3"/>
        <v>0.27600000000000002</v>
      </c>
      <c r="AB16" s="27">
        <v>126.18989500000001</v>
      </c>
      <c r="AC16" s="40">
        <v>1</v>
      </c>
      <c r="AD16" s="41">
        <v>1</v>
      </c>
      <c r="AE16" s="41">
        <v>0.05</v>
      </c>
      <c r="AG16" s="27">
        <v>130.41999999999999</v>
      </c>
      <c r="AH16" s="42">
        <v>1.0335217411822077</v>
      </c>
      <c r="AI16" s="41">
        <v>1</v>
      </c>
      <c r="AJ16" s="41">
        <v>0.1</v>
      </c>
    </row>
    <row r="17" spans="2:36" ht="14.45" customHeight="1" thickBot="1" x14ac:dyDescent="0.3">
      <c r="B17" s="175"/>
      <c r="C17" s="132" t="s">
        <v>52</v>
      </c>
      <c r="D17" s="116"/>
      <c r="E17" s="118"/>
      <c r="F17" s="116"/>
      <c r="G17" s="118"/>
      <c r="H17" s="113">
        <f t="shared" si="1"/>
        <v>0.58666666666666667</v>
      </c>
      <c r="I17" s="114">
        <f t="shared" si="2"/>
        <v>0.17599999999999999</v>
      </c>
      <c r="J17" s="149"/>
      <c r="K17" s="151"/>
      <c r="L17" s="149"/>
      <c r="M17" s="151"/>
      <c r="N17" s="185"/>
      <c r="O17" s="182"/>
      <c r="P17" s="119">
        <f t="shared" si="0"/>
        <v>0.92000000000000015</v>
      </c>
      <c r="Q17" s="115">
        <f t="shared" si="3"/>
        <v>0.27600000000000002</v>
      </c>
    </row>
    <row r="18" spans="2:36" ht="14.45" customHeight="1" thickBot="1" x14ac:dyDescent="0.3">
      <c r="B18" s="175"/>
      <c r="C18" s="132" t="s">
        <v>45</v>
      </c>
      <c r="D18" s="116"/>
      <c r="E18" s="117"/>
      <c r="F18" s="116"/>
      <c r="G18" s="117"/>
      <c r="H18" s="113">
        <f t="shared" si="1"/>
        <v>0.58666666666666667</v>
      </c>
      <c r="I18" s="114">
        <f t="shared" si="2"/>
        <v>0.17599999999999999</v>
      </c>
      <c r="J18" s="149"/>
      <c r="K18" s="151"/>
      <c r="L18" s="149"/>
      <c r="M18" s="151"/>
      <c r="N18" s="185"/>
      <c r="O18" s="182"/>
      <c r="P18" s="119">
        <f t="shared" si="0"/>
        <v>0.92000000000000015</v>
      </c>
      <c r="Q18" s="115">
        <f t="shared" si="3"/>
        <v>0.27600000000000002</v>
      </c>
      <c r="AB18" s="7" t="s">
        <v>12</v>
      </c>
      <c r="AC18" s="8" t="s">
        <v>13</v>
      </c>
      <c r="AD18" s="8"/>
      <c r="AE18" s="9" t="s">
        <v>3</v>
      </c>
      <c r="AG18" s="7" t="s">
        <v>12</v>
      </c>
      <c r="AH18" s="8" t="s">
        <v>13</v>
      </c>
      <c r="AI18" s="8"/>
      <c r="AJ18" s="10" t="s">
        <v>4</v>
      </c>
    </row>
    <row r="19" spans="2:36" ht="15" customHeight="1" thickBot="1" x14ac:dyDescent="0.3">
      <c r="B19" s="176"/>
      <c r="C19" s="133" t="s">
        <v>69</v>
      </c>
      <c r="D19" s="134"/>
      <c r="E19" s="135"/>
      <c r="F19" s="134"/>
      <c r="G19" s="136"/>
      <c r="H19" s="113">
        <f t="shared" si="1"/>
        <v>0.58666666666666667</v>
      </c>
      <c r="I19" s="114">
        <f>E19+G19+$E$20+$G$20</f>
        <v>0.17599999999999999</v>
      </c>
      <c r="J19" s="149"/>
      <c r="K19" s="151"/>
      <c r="L19" s="149"/>
      <c r="M19" s="151"/>
      <c r="N19" s="185"/>
      <c r="O19" s="182"/>
      <c r="P19" s="137">
        <f t="shared" si="0"/>
        <v>0.92000000000000015</v>
      </c>
      <c r="Q19" s="115">
        <f t="shared" si="3"/>
        <v>0.27600000000000002</v>
      </c>
      <c r="AB19" s="18" t="s">
        <v>8</v>
      </c>
      <c r="AC19" s="19" t="s">
        <v>9</v>
      </c>
      <c r="AD19" s="20" t="s">
        <v>10</v>
      </c>
      <c r="AE19" s="21" t="s">
        <v>11</v>
      </c>
      <c r="AG19" s="18" t="s">
        <v>8</v>
      </c>
      <c r="AH19" s="19" t="s">
        <v>9</v>
      </c>
      <c r="AI19" s="20" t="s">
        <v>10</v>
      </c>
      <c r="AJ19" s="21" t="s">
        <v>11</v>
      </c>
    </row>
    <row r="20" spans="2:36" ht="18.600000000000001" customHeight="1" thickBot="1" x14ac:dyDescent="0.35">
      <c r="B20" s="138"/>
      <c r="C20" s="139" t="s">
        <v>47</v>
      </c>
      <c r="D20" s="140">
        <v>1.012977411325948</v>
      </c>
      <c r="E20" s="141">
        <v>9.6000000000000002E-2</v>
      </c>
      <c r="F20" s="142">
        <v>0.99789679989536106</v>
      </c>
      <c r="G20" s="143">
        <v>0.08</v>
      </c>
      <c r="H20" s="144">
        <f>I20/30%</f>
        <v>0.95</v>
      </c>
      <c r="I20" s="145">
        <v>0.28499999999999998</v>
      </c>
      <c r="J20" s="152">
        <v>1.012977411325948</v>
      </c>
      <c r="K20" s="153">
        <v>0.03</v>
      </c>
      <c r="L20" s="152">
        <v>0.99789679989536106</v>
      </c>
      <c r="M20" s="153">
        <v>0</v>
      </c>
      <c r="N20" s="186"/>
      <c r="O20" s="183"/>
      <c r="P20" s="144">
        <f t="shared" si="0"/>
        <v>1.2833333333333332</v>
      </c>
      <c r="Q20" s="146">
        <f>I20+K20+M20+O5</f>
        <v>0.38499999999999995</v>
      </c>
      <c r="AB20" s="27">
        <v>121.1422992</v>
      </c>
      <c r="AC20" s="28">
        <v>0.96</v>
      </c>
      <c r="AD20" s="29">
        <v>0.25</v>
      </c>
      <c r="AE20" s="30">
        <v>2.5000000000000001E-2</v>
      </c>
      <c r="AG20" s="27">
        <v>126.18989500000001</v>
      </c>
      <c r="AH20" s="28">
        <v>1</v>
      </c>
      <c r="AI20" s="29">
        <v>0</v>
      </c>
      <c r="AJ20" s="30">
        <v>0</v>
      </c>
    </row>
    <row r="21" spans="2:36" x14ac:dyDescent="0.25">
      <c r="AB21" s="31">
        <v>121.64705877999999</v>
      </c>
      <c r="AC21" s="32">
        <v>0.96399999999999997</v>
      </c>
      <c r="AD21" s="33">
        <v>0.32464454976303281</v>
      </c>
      <c r="AE21" s="34">
        <v>3.2464454976303285E-2</v>
      </c>
      <c r="AG21" s="31">
        <v>126.61290550000001</v>
      </c>
      <c r="AH21" s="32">
        <v>1.0033521741182208</v>
      </c>
      <c r="AI21" s="33">
        <v>0.1</v>
      </c>
      <c r="AJ21" s="34">
        <v>0</v>
      </c>
    </row>
    <row r="22" spans="2:36" x14ac:dyDescent="0.25">
      <c r="AB22" s="31">
        <v>122.15181835999999</v>
      </c>
      <c r="AC22" s="32">
        <v>0.96799999999999997</v>
      </c>
      <c r="AD22" s="33">
        <v>0.39928909952606562</v>
      </c>
      <c r="AE22" s="34">
        <v>3.9928909952606562E-2</v>
      </c>
      <c r="AG22" s="31">
        <v>127.03591600000001</v>
      </c>
      <c r="AH22" s="32">
        <v>1.0067043482364417</v>
      </c>
      <c r="AI22" s="33">
        <v>0.2</v>
      </c>
      <c r="AJ22" s="34">
        <v>0</v>
      </c>
    </row>
    <row r="23" spans="2:36" x14ac:dyDescent="0.25">
      <c r="AB23" s="31">
        <v>122.65657793999999</v>
      </c>
      <c r="AC23" s="32">
        <v>0.97199999999999998</v>
      </c>
      <c r="AD23" s="33">
        <v>0.47393364928910042</v>
      </c>
      <c r="AE23" s="34">
        <v>4.7393364928910046E-2</v>
      </c>
      <c r="AG23" s="31">
        <v>127.45892650000002</v>
      </c>
      <c r="AH23" s="32">
        <v>1.0100565223546625</v>
      </c>
      <c r="AI23" s="33">
        <v>0.3</v>
      </c>
      <c r="AJ23" s="34">
        <v>0</v>
      </c>
    </row>
    <row r="24" spans="2:36" x14ac:dyDescent="0.25">
      <c r="AB24" s="31">
        <v>123.16133751999999</v>
      </c>
      <c r="AC24" s="32">
        <v>0.97599999999999998</v>
      </c>
      <c r="AD24" s="33">
        <v>0.55035545023696719</v>
      </c>
      <c r="AE24" s="34">
        <v>5.5035545023696723E-2</v>
      </c>
      <c r="AG24" s="31">
        <v>127.88193700000002</v>
      </c>
      <c r="AH24" s="32">
        <v>1.0134086964728832</v>
      </c>
      <c r="AI24" s="33">
        <v>0.4</v>
      </c>
      <c r="AJ24" s="34">
        <v>0</v>
      </c>
    </row>
    <row r="25" spans="2:36" x14ac:dyDescent="0.25">
      <c r="AB25" s="31">
        <v>123.66609709999999</v>
      </c>
      <c r="AC25" s="32">
        <v>0.98</v>
      </c>
      <c r="AD25" s="33">
        <v>0.625</v>
      </c>
      <c r="AE25" s="34">
        <v>6.25E-2</v>
      </c>
      <c r="AG25" s="31">
        <v>128.30494750000003</v>
      </c>
      <c r="AH25" s="32">
        <v>1.0167608705911042</v>
      </c>
      <c r="AI25" s="33">
        <v>0.5</v>
      </c>
      <c r="AJ25" s="34">
        <v>0</v>
      </c>
    </row>
    <row r="26" spans="2:36" x14ac:dyDescent="0.25">
      <c r="AB26" s="31">
        <v>124.17085667999999</v>
      </c>
      <c r="AC26" s="32">
        <v>0.9840000000000001</v>
      </c>
      <c r="AD26" s="33">
        <v>0.69964454976303281</v>
      </c>
      <c r="AE26" s="34">
        <v>6.9964454976303284E-2</v>
      </c>
      <c r="AG26" s="31">
        <v>128.72795800000003</v>
      </c>
      <c r="AH26" s="32">
        <v>1.020113044709325</v>
      </c>
      <c r="AI26" s="33">
        <v>0.6</v>
      </c>
      <c r="AJ26" s="34">
        <v>0</v>
      </c>
    </row>
    <row r="27" spans="2:36" x14ac:dyDescent="0.25">
      <c r="AB27" s="31">
        <v>124.67561625999998</v>
      </c>
      <c r="AC27" s="32">
        <v>0.9880000000000001</v>
      </c>
      <c r="AD27" s="33">
        <v>0.77428909952606562</v>
      </c>
      <c r="AE27" s="34">
        <v>7.7428909952606567E-2</v>
      </c>
      <c r="AG27" s="31">
        <v>129.15096850000003</v>
      </c>
      <c r="AH27" s="32">
        <v>1.0234652188275457</v>
      </c>
      <c r="AI27" s="33">
        <v>0.7</v>
      </c>
      <c r="AJ27" s="34">
        <v>0</v>
      </c>
    </row>
    <row r="28" spans="2:36" x14ac:dyDescent="0.25">
      <c r="AB28" s="31">
        <v>125.18037583999998</v>
      </c>
      <c r="AC28" s="32">
        <v>0.9920000000000001</v>
      </c>
      <c r="AD28" s="33">
        <v>0.85071090047393438</v>
      </c>
      <c r="AE28" s="34">
        <v>8.5071090047393438E-2</v>
      </c>
      <c r="AG28" s="31">
        <v>129.57397900000004</v>
      </c>
      <c r="AH28" s="32">
        <v>1.0268173929457667</v>
      </c>
      <c r="AI28" s="33">
        <v>0.8</v>
      </c>
      <c r="AJ28" s="34">
        <v>0</v>
      </c>
    </row>
    <row r="29" spans="2:36" x14ac:dyDescent="0.25">
      <c r="AB29" s="31">
        <v>125.68513541999998</v>
      </c>
      <c r="AC29" s="32">
        <v>0.99600000000000011</v>
      </c>
      <c r="AD29" s="33">
        <v>0.92535545023696719</v>
      </c>
      <c r="AE29" s="34">
        <v>9.2535545023696722E-2</v>
      </c>
      <c r="AG29" s="31">
        <v>129.99698950000004</v>
      </c>
      <c r="AH29" s="32">
        <v>1.0301695670639874</v>
      </c>
      <c r="AI29" s="33">
        <v>0.9</v>
      </c>
      <c r="AJ29" s="34">
        <v>0</v>
      </c>
    </row>
    <row r="30" spans="2:36" x14ac:dyDescent="0.25">
      <c r="AB30" s="27">
        <v>126.18989500000001</v>
      </c>
      <c r="AC30" s="40">
        <v>1</v>
      </c>
      <c r="AD30" s="41">
        <v>1</v>
      </c>
      <c r="AE30" s="41">
        <v>0.1</v>
      </c>
      <c r="AG30" s="27">
        <v>130.41999999999999</v>
      </c>
      <c r="AH30" s="42">
        <v>1.0335217411822077</v>
      </c>
      <c r="AI30" s="41">
        <v>1</v>
      </c>
      <c r="AJ30" s="41">
        <v>0</v>
      </c>
    </row>
    <row r="32" spans="2:36" x14ac:dyDescent="0.25">
      <c r="AB32" s="7" t="s">
        <v>14</v>
      </c>
      <c r="AC32" s="8" t="s">
        <v>15</v>
      </c>
      <c r="AD32" s="8"/>
      <c r="AE32" s="9" t="s">
        <v>3</v>
      </c>
      <c r="AG32" s="7" t="s">
        <v>14</v>
      </c>
      <c r="AH32" s="8" t="s">
        <v>15</v>
      </c>
      <c r="AI32" s="8"/>
      <c r="AJ32" s="10" t="s">
        <v>4</v>
      </c>
    </row>
    <row r="33" spans="4:36" x14ac:dyDescent="0.25">
      <c r="AB33" s="75" t="s">
        <v>25</v>
      </c>
      <c r="AC33" s="76" t="s">
        <v>9</v>
      </c>
      <c r="AD33" s="77" t="s">
        <v>10</v>
      </c>
      <c r="AE33" s="21" t="s">
        <v>11</v>
      </c>
      <c r="AG33" s="75" t="s">
        <v>25</v>
      </c>
      <c r="AH33" s="76" t="s">
        <v>9</v>
      </c>
      <c r="AI33" s="77" t="s">
        <v>10</v>
      </c>
      <c r="AJ33" s="21" t="s">
        <v>11</v>
      </c>
    </row>
    <row r="34" spans="4:36" x14ac:dyDescent="0.25">
      <c r="AB34" s="27">
        <v>288.48343914836181</v>
      </c>
      <c r="AC34" s="28">
        <v>0.97299999999999998</v>
      </c>
      <c r="AD34" s="29">
        <v>0</v>
      </c>
      <c r="AE34" s="30">
        <v>0</v>
      </c>
      <c r="AG34" s="27">
        <v>296.48863221825468</v>
      </c>
      <c r="AH34" s="28">
        <v>1</v>
      </c>
      <c r="AI34" s="29">
        <v>0</v>
      </c>
      <c r="AJ34" s="30">
        <v>0</v>
      </c>
    </row>
    <row r="35" spans="4:36" ht="15.75" thickBot="1" x14ac:dyDescent="0.3">
      <c r="D35" s="82" t="s">
        <v>55</v>
      </c>
      <c r="AB35" s="31">
        <v>289.28395845535113</v>
      </c>
      <c r="AC35" s="32">
        <v>0.97570000000000012</v>
      </c>
      <c r="AD35" s="33">
        <v>0.1</v>
      </c>
      <c r="AE35" s="34">
        <v>5.000000000000001E-3</v>
      </c>
      <c r="AG35" s="31">
        <v>296.65976899642919</v>
      </c>
      <c r="AH35" s="32">
        <v>1.0005772119385965</v>
      </c>
      <c r="AI35" s="33">
        <v>0.1</v>
      </c>
      <c r="AJ35" s="34">
        <v>1.0000000000000002E-2</v>
      </c>
    </row>
    <row r="36" spans="4:36" ht="16.5" thickBot="1" x14ac:dyDescent="0.3">
      <c r="D36" s="84" t="s">
        <v>27</v>
      </c>
      <c r="E36" s="85" t="s">
        <v>28</v>
      </c>
      <c r="F36" s="85" t="s">
        <v>29</v>
      </c>
      <c r="G36" s="85" t="s">
        <v>30</v>
      </c>
      <c r="H36" s="85" t="s">
        <v>31</v>
      </c>
      <c r="I36" s="85" t="s">
        <v>32</v>
      </c>
      <c r="J36" s="85" t="s">
        <v>33</v>
      </c>
      <c r="K36" s="85" t="s">
        <v>34</v>
      </c>
      <c r="L36" s="85" t="s">
        <v>35</v>
      </c>
      <c r="M36" s="86" t="s">
        <v>36</v>
      </c>
      <c r="N36" s="87" t="s">
        <v>37</v>
      </c>
      <c r="O36" s="86" t="s">
        <v>56</v>
      </c>
      <c r="P36" s="105" t="s">
        <v>57</v>
      </c>
      <c r="Q36" s="87" t="s">
        <v>58</v>
      </c>
      <c r="R36" s="86" t="s">
        <v>59</v>
      </c>
      <c r="S36" s="105" t="s">
        <v>60</v>
      </c>
      <c r="T36" s="105" t="s">
        <v>61</v>
      </c>
      <c r="U36" s="23" t="s">
        <v>72</v>
      </c>
      <c r="V36" s="163"/>
      <c r="AB36" s="31">
        <v>290.08447776234038</v>
      </c>
      <c r="AC36" s="32">
        <v>0.97840000000000005</v>
      </c>
      <c r="AD36" s="33">
        <v>0.2</v>
      </c>
      <c r="AE36" s="34">
        <v>1.0000000000000002E-2</v>
      </c>
      <c r="AG36" s="31">
        <v>296.83090577460371</v>
      </c>
      <c r="AH36" s="32">
        <v>1.001154423877193</v>
      </c>
      <c r="AI36" s="33">
        <v>0.2</v>
      </c>
      <c r="AJ36" s="34">
        <v>2.0000000000000004E-2</v>
      </c>
    </row>
    <row r="37" spans="4:36" ht="15.75" x14ac:dyDescent="0.25">
      <c r="D37" s="88" t="s">
        <v>21</v>
      </c>
      <c r="E37" s="89">
        <v>5531728333.578927</v>
      </c>
      <c r="F37" s="89">
        <v>5722513147.3449001</v>
      </c>
      <c r="G37" s="89">
        <v>243288.48603071459</v>
      </c>
      <c r="H37" s="89">
        <v>243230.2250345443</v>
      </c>
      <c r="I37" s="89">
        <v>3801903908.3698511</v>
      </c>
      <c r="J37" s="89">
        <v>3930190817.9795208</v>
      </c>
      <c r="K37" s="89">
        <v>22737.320716774739</v>
      </c>
      <c r="L37" s="89">
        <v>23527.146540000002</v>
      </c>
      <c r="M37" s="100">
        <f t="shared" ref="M37:M52" si="4">J37/I37</f>
        <v>1.0337428069466057</v>
      </c>
      <c r="N37" s="101">
        <f t="shared" ref="N37:N52" si="5">H37/G37</f>
        <v>0.99976052711280827</v>
      </c>
      <c r="O37" s="90"/>
      <c r="Q37" s="91"/>
      <c r="R37" s="90"/>
      <c r="T37" s="161"/>
      <c r="U37" s="164">
        <v>1.0449999999999999</v>
      </c>
      <c r="V37" s="13"/>
      <c r="AB37" s="31">
        <v>290.88499706932964</v>
      </c>
      <c r="AC37" s="32">
        <v>0.98109999999999997</v>
      </c>
      <c r="AD37" s="33">
        <v>0.3</v>
      </c>
      <c r="AE37" s="34">
        <v>1.4999999999999999E-2</v>
      </c>
      <c r="AG37" s="31">
        <v>297.00204255277822</v>
      </c>
      <c r="AH37" s="32">
        <v>1.0017316358157895</v>
      </c>
      <c r="AI37" s="33">
        <v>0.3</v>
      </c>
      <c r="AJ37" s="34">
        <v>0.03</v>
      </c>
    </row>
    <row r="38" spans="4:36" ht="15.75" x14ac:dyDescent="0.25">
      <c r="D38" s="92" t="s">
        <v>38</v>
      </c>
      <c r="E38" s="89">
        <v>25887293235.70483</v>
      </c>
      <c r="F38" s="89">
        <v>25772150539.867569</v>
      </c>
      <c r="G38" s="89">
        <v>302140.62880146049</v>
      </c>
      <c r="H38" s="89">
        <v>303858.0123632708</v>
      </c>
      <c r="I38" s="89">
        <v>16786195553.83762</v>
      </c>
      <c r="J38" s="89">
        <v>16598168561.750509</v>
      </c>
      <c r="K38" s="89">
        <v>85679.616602359092</v>
      </c>
      <c r="L38" s="89">
        <v>84816.425735900091</v>
      </c>
      <c r="M38" s="100">
        <f t="shared" si="4"/>
        <v>0.98879871311613998</v>
      </c>
      <c r="N38" s="101">
        <f t="shared" si="5"/>
        <v>1.0056840537091052</v>
      </c>
      <c r="O38" s="90"/>
      <c r="Q38" s="91"/>
      <c r="R38" s="90"/>
      <c r="T38" s="161"/>
      <c r="U38" s="23"/>
      <c r="V38" s="13"/>
      <c r="AB38" s="31">
        <v>291.6855163763189</v>
      </c>
      <c r="AC38" s="32">
        <v>0.98379999999999979</v>
      </c>
      <c r="AD38" s="33">
        <v>0.4</v>
      </c>
      <c r="AE38" s="34">
        <v>2.0000000000000004E-2</v>
      </c>
      <c r="AG38" s="31">
        <v>297.17317933095273</v>
      </c>
      <c r="AH38" s="32">
        <v>1.0023088477543858</v>
      </c>
      <c r="AI38" s="33">
        <v>0.4</v>
      </c>
      <c r="AJ38" s="34">
        <v>4.0000000000000008E-2</v>
      </c>
    </row>
    <row r="39" spans="4:36" ht="15.75" x14ac:dyDescent="0.25">
      <c r="D39" s="92" t="s">
        <v>39</v>
      </c>
      <c r="E39" s="89">
        <v>39033133468.757896</v>
      </c>
      <c r="F39" s="89">
        <v>41008799933.206749</v>
      </c>
      <c r="G39" s="89">
        <v>321633.07344217342</v>
      </c>
      <c r="H39" s="89">
        <v>322273.92237753549</v>
      </c>
      <c r="I39" s="89">
        <v>25237711707.1982</v>
      </c>
      <c r="J39" s="89">
        <v>26145328798.881561</v>
      </c>
      <c r="K39" s="89">
        <v>121359.2030540221</v>
      </c>
      <c r="L39" s="89">
        <v>127248.2726206001</v>
      </c>
      <c r="M39" s="100">
        <f t="shared" si="4"/>
        <v>1.0359627331595398</v>
      </c>
      <c r="N39" s="101">
        <f t="shared" si="5"/>
        <v>1.0019924845679071</v>
      </c>
      <c r="O39" s="90"/>
      <c r="Q39" s="91"/>
      <c r="R39" s="90"/>
      <c r="T39" s="161"/>
      <c r="U39" s="23"/>
      <c r="V39" s="13"/>
      <c r="AB39" s="31">
        <v>292.48603568330816</v>
      </c>
      <c r="AC39" s="32">
        <v>0.98649999999999971</v>
      </c>
      <c r="AD39" s="33">
        <v>0.5</v>
      </c>
      <c r="AE39" s="34">
        <v>2.5000000000000001E-2</v>
      </c>
      <c r="AG39" s="31">
        <v>297.34431610912725</v>
      </c>
      <c r="AH39" s="32">
        <v>1.0028860596929823</v>
      </c>
      <c r="AI39" s="33">
        <v>0.5</v>
      </c>
      <c r="AJ39" s="34">
        <v>0.05</v>
      </c>
    </row>
    <row r="40" spans="4:36" ht="15.75" x14ac:dyDescent="0.25">
      <c r="D40" s="92" t="s">
        <v>40</v>
      </c>
      <c r="E40" s="89">
        <v>39064986435.173508</v>
      </c>
      <c r="F40" s="89">
        <v>38387249190.441788</v>
      </c>
      <c r="G40" s="89">
        <v>281289.45081007812</v>
      </c>
      <c r="H40" s="89">
        <v>279681.81026483118</v>
      </c>
      <c r="I40" s="89">
        <v>25366348050.97403</v>
      </c>
      <c r="J40" s="89">
        <v>25493634341.00856</v>
      </c>
      <c r="K40" s="89">
        <v>138878.24915819379</v>
      </c>
      <c r="L40" s="89">
        <v>137253.29206820001</v>
      </c>
      <c r="M40" s="100">
        <f t="shared" si="4"/>
        <v>1.0050179194016713</v>
      </c>
      <c r="N40" s="101">
        <f t="shared" si="5"/>
        <v>0.99428474640404341</v>
      </c>
      <c r="O40" s="90"/>
      <c r="Q40" s="91"/>
      <c r="R40" s="90"/>
      <c r="T40" s="161"/>
      <c r="U40" s="23"/>
      <c r="V40" s="13"/>
      <c r="AB40" s="31">
        <v>293.28655499029742</v>
      </c>
      <c r="AC40" s="32">
        <v>0.98919999999999964</v>
      </c>
      <c r="AD40" s="33">
        <v>0.6</v>
      </c>
      <c r="AE40" s="34">
        <v>0.03</v>
      </c>
      <c r="AG40" s="31">
        <v>297.51545288730176</v>
      </c>
      <c r="AH40" s="32">
        <v>1.0034632716315788</v>
      </c>
      <c r="AI40" s="33">
        <v>0.6</v>
      </c>
      <c r="AJ40" s="34">
        <v>0.06</v>
      </c>
    </row>
    <row r="41" spans="4:36" ht="15.75" x14ac:dyDescent="0.25">
      <c r="D41" s="92" t="s">
        <v>41</v>
      </c>
      <c r="E41" s="89">
        <v>31363293942.790661</v>
      </c>
      <c r="F41" s="89">
        <v>32231379532.868431</v>
      </c>
      <c r="G41" s="89">
        <v>300298.32964414719</v>
      </c>
      <c r="H41" s="89">
        <v>299612.13457182533</v>
      </c>
      <c r="I41" s="89">
        <v>20223911926.343941</v>
      </c>
      <c r="J41" s="89">
        <v>20947521799.438931</v>
      </c>
      <c r="K41" s="89">
        <v>104440.4541975178</v>
      </c>
      <c r="L41" s="89">
        <v>107577.0164614</v>
      </c>
      <c r="M41" s="100">
        <f t="shared" si="4"/>
        <v>1.0357799161571903</v>
      </c>
      <c r="N41" s="101">
        <f t="shared" si="5"/>
        <v>0.99771495541405442</v>
      </c>
      <c r="O41" s="90"/>
      <c r="Q41" s="91"/>
      <c r="R41" s="90"/>
      <c r="T41" s="161"/>
      <c r="U41" s="23"/>
      <c r="V41" s="13"/>
      <c r="AB41" s="31">
        <v>294.08707429728668</v>
      </c>
      <c r="AC41" s="32">
        <v>0.99189999999999956</v>
      </c>
      <c r="AD41" s="33">
        <v>0.7</v>
      </c>
      <c r="AE41" s="34">
        <v>3.4999999999999996E-2</v>
      </c>
      <c r="AG41" s="31">
        <v>297.68658966547628</v>
      </c>
      <c r="AH41" s="32">
        <v>1.0040404835701753</v>
      </c>
      <c r="AI41" s="33">
        <v>0.7</v>
      </c>
      <c r="AJ41" s="34">
        <v>6.9999999999999993E-2</v>
      </c>
    </row>
    <row r="42" spans="4:36" ht="15.75" x14ac:dyDescent="0.25">
      <c r="D42" s="92" t="s">
        <v>42</v>
      </c>
      <c r="E42" s="89">
        <v>15824782777.47311</v>
      </c>
      <c r="F42" s="89">
        <v>16024483305.16786</v>
      </c>
      <c r="G42" s="89">
        <v>297056.50566868781</v>
      </c>
      <c r="H42" s="89">
        <v>299534.58118034771</v>
      </c>
      <c r="I42" s="89">
        <v>10549369205.51005</v>
      </c>
      <c r="J42" s="89">
        <v>10734741236.254009</v>
      </c>
      <c r="K42" s="89">
        <v>53271.961648679593</v>
      </c>
      <c r="L42" s="89">
        <v>53497.940845500023</v>
      </c>
      <c r="M42" s="100">
        <f t="shared" si="4"/>
        <v>1.0175718592394261</v>
      </c>
      <c r="N42" s="101">
        <f t="shared" si="5"/>
        <v>1.0083421014667955</v>
      </c>
      <c r="O42" s="90"/>
      <c r="Q42" s="91"/>
      <c r="R42" s="90"/>
      <c r="T42" s="161"/>
      <c r="U42" s="23"/>
      <c r="V42" s="13"/>
      <c r="AB42" s="31">
        <v>294.88759360427593</v>
      </c>
      <c r="AC42" s="32">
        <v>0.99459999999999948</v>
      </c>
      <c r="AD42" s="33">
        <v>0.8</v>
      </c>
      <c r="AE42" s="34">
        <v>4.0000000000000008E-2</v>
      </c>
      <c r="AG42" s="31">
        <v>297.85772644365079</v>
      </c>
      <c r="AH42" s="32">
        <v>1.0046176955087718</v>
      </c>
      <c r="AI42" s="33">
        <v>0.8</v>
      </c>
      <c r="AJ42" s="34">
        <v>8.0000000000000016E-2</v>
      </c>
    </row>
    <row r="43" spans="4:36" ht="15.75" x14ac:dyDescent="0.25">
      <c r="D43" s="92" t="s">
        <v>43</v>
      </c>
      <c r="E43" s="89">
        <v>9610027969.7755451</v>
      </c>
      <c r="F43" s="89">
        <v>10345034022.67058</v>
      </c>
      <c r="G43" s="89">
        <v>269605.32289907231</v>
      </c>
      <c r="H43" s="89">
        <v>270583.76679249608</v>
      </c>
      <c r="I43" s="89">
        <v>7109195907.7456074</v>
      </c>
      <c r="J43" s="89">
        <v>7708744707.4835024</v>
      </c>
      <c r="K43" s="89">
        <v>35644.800579004492</v>
      </c>
      <c r="L43" s="89">
        <v>38232.278844000008</v>
      </c>
      <c r="M43" s="100">
        <f t="shared" si="4"/>
        <v>1.0843342633285256</v>
      </c>
      <c r="N43" s="101">
        <f t="shared" si="5"/>
        <v>1.0036291712748937</v>
      </c>
      <c r="O43" s="90"/>
      <c r="Q43" s="91"/>
      <c r="R43" s="90"/>
      <c r="T43" s="161"/>
      <c r="U43" s="23"/>
      <c r="V43" s="13"/>
      <c r="AB43" s="31">
        <v>295.68811291126519</v>
      </c>
      <c r="AC43" s="32">
        <v>0.9972999999999993</v>
      </c>
      <c r="AD43" s="33">
        <v>0.9</v>
      </c>
      <c r="AE43" s="34">
        <v>4.5000000000000005E-2</v>
      </c>
      <c r="AG43" s="31">
        <v>298.0288632218253</v>
      </c>
      <c r="AH43" s="32">
        <v>1.0051949074473683</v>
      </c>
      <c r="AI43" s="33">
        <v>0.9</v>
      </c>
      <c r="AJ43" s="34">
        <v>9.0000000000000011E-2</v>
      </c>
    </row>
    <row r="44" spans="4:36" ht="15.75" x14ac:dyDescent="0.25">
      <c r="D44" s="92" t="s">
        <v>44</v>
      </c>
      <c r="E44" s="89">
        <v>9682802485.2179852</v>
      </c>
      <c r="F44" s="89">
        <v>7998082662.0638533</v>
      </c>
      <c r="G44" s="89">
        <v>281970.03450858378</v>
      </c>
      <c r="H44" s="89">
        <v>279175.33649261057</v>
      </c>
      <c r="I44" s="89">
        <v>6952879491.9023466</v>
      </c>
      <c r="J44" s="89">
        <v>5756977484.97264</v>
      </c>
      <c r="K44" s="89">
        <v>34339.827996592372</v>
      </c>
      <c r="L44" s="89">
        <v>28648.958617</v>
      </c>
      <c r="M44" s="100">
        <f t="shared" si="4"/>
        <v>0.8279990314340252</v>
      </c>
      <c r="N44" s="101">
        <f t="shared" si="5"/>
        <v>0.99008867016367963</v>
      </c>
      <c r="O44" s="90"/>
      <c r="Q44" s="91"/>
      <c r="R44" s="90"/>
      <c r="T44" s="161"/>
      <c r="U44" s="23"/>
      <c r="V44" s="13"/>
      <c r="AB44" s="78">
        <v>296.48863221825468</v>
      </c>
      <c r="AC44" s="40">
        <v>1</v>
      </c>
      <c r="AD44" s="41">
        <v>1</v>
      </c>
      <c r="AE44" s="41">
        <v>0.05</v>
      </c>
      <c r="AG44" s="78">
        <v>298.2</v>
      </c>
      <c r="AH44" s="42">
        <v>1.0057721193859652</v>
      </c>
      <c r="AI44" s="41">
        <v>1</v>
      </c>
      <c r="AJ44" s="41">
        <v>0.1</v>
      </c>
    </row>
    <row r="45" spans="4:36" ht="15.75" x14ac:dyDescent="0.25">
      <c r="D45" s="92" t="s">
        <v>45</v>
      </c>
      <c r="E45" s="89">
        <v>13209596112.34861</v>
      </c>
      <c r="F45" s="89">
        <v>13154398249.22537</v>
      </c>
      <c r="G45" s="89">
        <v>318918.84352995933</v>
      </c>
      <c r="H45" s="89">
        <v>312380.19214124721</v>
      </c>
      <c r="I45" s="89">
        <v>9053750849.0866508</v>
      </c>
      <c r="J45" s="89">
        <v>9007473756.4775219</v>
      </c>
      <c r="K45" s="89">
        <v>41419.929804516883</v>
      </c>
      <c r="L45" s="89">
        <v>42110.218830000013</v>
      </c>
      <c r="M45" s="100">
        <f t="shared" si="4"/>
        <v>0.99488862755552887</v>
      </c>
      <c r="N45" s="101">
        <f t="shared" si="5"/>
        <v>0.97949744418881335</v>
      </c>
      <c r="O45" s="90"/>
      <c r="Q45" s="91"/>
      <c r="R45" s="90"/>
      <c r="T45" s="161"/>
      <c r="U45" s="23"/>
      <c r="V45" s="13"/>
    </row>
    <row r="46" spans="4:36" ht="16.5" thickBot="1" x14ac:dyDescent="0.3">
      <c r="D46" s="93" t="s">
        <v>46</v>
      </c>
      <c r="E46" s="89">
        <v>1632345969.9116709</v>
      </c>
      <c r="F46" s="89">
        <v>2004357617.054924</v>
      </c>
      <c r="G46" s="89">
        <v>276866.89024291473</v>
      </c>
      <c r="H46" s="89">
        <v>243701.37482005611</v>
      </c>
      <c r="I46" s="89">
        <v>1108628399.0317249</v>
      </c>
      <c r="J46" s="89">
        <v>1504731668.346525</v>
      </c>
      <c r="K46" s="89">
        <v>5895.778901115621</v>
      </c>
      <c r="L46" s="89">
        <v>8224.6463260000019</v>
      </c>
      <c r="M46" s="100">
        <f t="shared" si="4"/>
        <v>1.3572912886416733</v>
      </c>
      <c r="N46" s="101">
        <f t="shared" si="5"/>
        <v>0.88021133406829477</v>
      </c>
      <c r="O46" s="90"/>
      <c r="Q46" s="91"/>
      <c r="R46" s="90"/>
      <c r="T46" s="161"/>
      <c r="U46" s="23"/>
      <c r="V46" s="13"/>
      <c r="AB46" s="7" t="s">
        <v>16</v>
      </c>
      <c r="AC46" s="8" t="s">
        <v>17</v>
      </c>
      <c r="AD46" s="8"/>
      <c r="AE46" s="9" t="s">
        <v>3</v>
      </c>
      <c r="AG46" s="7" t="s">
        <v>16</v>
      </c>
      <c r="AH46" s="8" t="s">
        <v>17</v>
      </c>
      <c r="AI46" s="8"/>
      <c r="AJ46" s="10" t="s">
        <v>4</v>
      </c>
    </row>
    <row r="47" spans="4:36" ht="16.5" thickBot="1" x14ac:dyDescent="0.3">
      <c r="D47" s="94" t="s">
        <v>47</v>
      </c>
      <c r="E47" s="95">
        <v>190839990730.7327</v>
      </c>
      <c r="F47" s="95">
        <v>192648448199.9118</v>
      </c>
      <c r="G47" s="95">
        <v>296488.6322182545</v>
      </c>
      <c r="H47" s="95">
        <v>295865.05729594879</v>
      </c>
      <c r="I47" s="95">
        <v>126189895000</v>
      </c>
      <c r="J47" s="95">
        <v>127827513172.5932</v>
      </c>
      <c r="K47" s="95">
        <v>643667.14265877649</v>
      </c>
      <c r="L47" s="95">
        <v>651136.19688859989</v>
      </c>
      <c r="M47" s="96">
        <f t="shared" si="4"/>
        <v>1.012977411325948</v>
      </c>
      <c r="N47" s="97">
        <f t="shared" si="5"/>
        <v>0.99789679989536095</v>
      </c>
      <c r="O47" s="95">
        <v>37141</v>
      </c>
      <c r="P47" s="106">
        <v>39961</v>
      </c>
      <c r="Q47" s="97">
        <f>P47/O47</f>
        <v>1.0759268732667402</v>
      </c>
      <c r="R47" s="95">
        <v>40439</v>
      </c>
      <c r="S47" s="106">
        <v>40933</v>
      </c>
      <c r="T47" s="162">
        <f>S47/R47</f>
        <v>1.0122159301664235</v>
      </c>
      <c r="U47" s="164">
        <v>1.034</v>
      </c>
      <c r="V47" s="1"/>
      <c r="AB47" s="75" t="s">
        <v>25</v>
      </c>
      <c r="AC47" s="76" t="s">
        <v>9</v>
      </c>
      <c r="AD47" s="77" t="s">
        <v>10</v>
      </c>
      <c r="AE47" s="21" t="s">
        <v>11</v>
      </c>
      <c r="AG47" s="75" t="s">
        <v>25</v>
      </c>
      <c r="AH47" s="76" t="s">
        <v>9</v>
      </c>
      <c r="AI47" s="77" t="s">
        <v>10</v>
      </c>
      <c r="AJ47" s="21" t="s">
        <v>11</v>
      </c>
    </row>
    <row r="48" spans="4:36" ht="15.75" x14ac:dyDescent="0.25">
      <c r="D48" s="88" t="s">
        <v>48</v>
      </c>
      <c r="E48" s="89">
        <v>51757772702.996872</v>
      </c>
      <c r="F48" s="89">
        <v>52905286701.472458</v>
      </c>
      <c r="G48" s="89">
        <v>329493.68063882372</v>
      </c>
      <c r="H48" s="89">
        <v>331338.21313586831</v>
      </c>
      <c r="I48" s="89">
        <v>33056124115.70142</v>
      </c>
      <c r="J48" s="89">
        <v>33788296905.055</v>
      </c>
      <c r="K48" s="89">
        <v>157082.7476953388</v>
      </c>
      <c r="L48" s="89">
        <v>159671.5519189999</v>
      </c>
      <c r="M48" s="100">
        <f t="shared" si="4"/>
        <v>1.0221493840835927</v>
      </c>
      <c r="N48" s="101">
        <f t="shared" si="5"/>
        <v>1.0055980815579479</v>
      </c>
      <c r="O48" s="90"/>
      <c r="Q48" s="91"/>
      <c r="R48" s="90"/>
      <c r="T48" s="161"/>
      <c r="U48" s="23"/>
      <c r="V48" s="13"/>
      <c r="AB48" s="27">
        <v>288.48343914836181</v>
      </c>
      <c r="AC48" s="28">
        <v>0.97299999999999998</v>
      </c>
      <c r="AD48" s="29">
        <v>0</v>
      </c>
      <c r="AE48" s="30">
        <v>0</v>
      </c>
      <c r="AG48" s="27">
        <v>296.48863221825468</v>
      </c>
      <c r="AH48" s="28">
        <v>1</v>
      </c>
      <c r="AI48" s="29">
        <v>0</v>
      </c>
      <c r="AJ48" s="30">
        <v>0</v>
      </c>
    </row>
    <row r="49" spans="4:36" ht="15.75" x14ac:dyDescent="0.25">
      <c r="D49" s="92" t="s">
        <v>49</v>
      </c>
      <c r="E49" s="89">
        <v>51175940436.793243</v>
      </c>
      <c r="F49" s="89">
        <v>49985677539.201103</v>
      </c>
      <c r="G49" s="89">
        <v>323820.57736147032</v>
      </c>
      <c r="H49" s="89">
        <v>322569.15207353811</v>
      </c>
      <c r="I49" s="89">
        <v>29721126093.8307</v>
      </c>
      <c r="J49" s="89">
        <v>28993285879.456459</v>
      </c>
      <c r="K49" s="89">
        <v>158037.95068794291</v>
      </c>
      <c r="L49" s="89">
        <v>154961.12141499991</v>
      </c>
      <c r="M49" s="100">
        <f t="shared" si="4"/>
        <v>0.97551101488966396</v>
      </c>
      <c r="N49" s="101">
        <f t="shared" si="5"/>
        <v>0.99613543617848821</v>
      </c>
      <c r="O49" s="90"/>
      <c r="Q49" s="91"/>
      <c r="R49" s="90"/>
      <c r="T49" s="161"/>
      <c r="U49" s="23"/>
      <c r="V49" s="13"/>
      <c r="AB49" s="31">
        <v>289.28395845535113</v>
      </c>
      <c r="AC49" s="32">
        <v>0.97570000000000012</v>
      </c>
      <c r="AD49" s="33">
        <v>0.1</v>
      </c>
      <c r="AE49" s="34">
        <v>1.0000000000000002E-2</v>
      </c>
      <c r="AG49" s="31">
        <v>296.65976899642919</v>
      </c>
      <c r="AH49" s="32">
        <v>1.0005772119385965</v>
      </c>
      <c r="AI49" s="33">
        <v>0.1</v>
      </c>
      <c r="AJ49" s="34">
        <v>0</v>
      </c>
    </row>
    <row r="50" spans="4:36" ht="15.75" x14ac:dyDescent="0.25">
      <c r="D50" s="92" t="s">
        <v>50</v>
      </c>
      <c r="E50" s="89">
        <v>6603039091.5535774</v>
      </c>
      <c r="F50" s="89">
        <v>7124194665.742135</v>
      </c>
      <c r="G50" s="89">
        <v>304212.50262109691</v>
      </c>
      <c r="H50" s="89">
        <v>307586.90861289093</v>
      </c>
      <c r="I50" s="89">
        <v>4778156883.8152866</v>
      </c>
      <c r="J50" s="89">
        <v>5160048414.3100338</v>
      </c>
      <c r="K50" s="89">
        <v>21705.350814518632</v>
      </c>
      <c r="L50" s="89">
        <v>23161.56658900002</v>
      </c>
      <c r="M50" s="100">
        <f t="shared" si="4"/>
        <v>1.0799244436255957</v>
      </c>
      <c r="N50" s="101">
        <f t="shared" si="5"/>
        <v>1.011092265974344</v>
      </c>
      <c r="O50" s="90"/>
      <c r="Q50" s="91"/>
      <c r="R50" s="90"/>
      <c r="T50" s="161"/>
      <c r="U50" s="23"/>
      <c r="V50" s="13"/>
      <c r="AB50" s="31">
        <v>290.08447776234038</v>
      </c>
      <c r="AC50" s="32">
        <v>0.97840000000000005</v>
      </c>
      <c r="AD50" s="33">
        <v>0.2</v>
      </c>
      <c r="AE50" s="34">
        <v>2.0000000000000004E-2</v>
      </c>
      <c r="AG50" s="31">
        <v>296.83090577460371</v>
      </c>
      <c r="AH50" s="32">
        <v>1.001154423877193</v>
      </c>
      <c r="AI50" s="33">
        <v>0.2</v>
      </c>
      <c r="AJ50" s="34">
        <v>0</v>
      </c>
    </row>
    <row r="51" spans="4:36" ht="15.75" x14ac:dyDescent="0.25">
      <c r="D51" s="92" t="s">
        <v>51</v>
      </c>
      <c r="E51" s="89">
        <v>10538999654.257351</v>
      </c>
      <c r="F51" s="89">
        <v>10398141898.22641</v>
      </c>
      <c r="G51" s="89">
        <v>290538.88454409642</v>
      </c>
      <c r="H51" s="89">
        <v>292173.65985430247</v>
      </c>
      <c r="I51" s="89">
        <v>7666912091.2996349</v>
      </c>
      <c r="J51" s="89">
        <v>7591578187.2053709</v>
      </c>
      <c r="K51" s="89">
        <v>36273.973002941719</v>
      </c>
      <c r="L51" s="89">
        <v>35588.909360999991</v>
      </c>
      <c r="M51" s="100">
        <f t="shared" si="4"/>
        <v>0.99017415314051238</v>
      </c>
      <c r="N51" s="101">
        <f t="shared" si="5"/>
        <v>1.0056267005801005</v>
      </c>
      <c r="O51" s="90"/>
      <c r="Q51" s="91"/>
      <c r="R51" s="90"/>
      <c r="T51" s="161"/>
      <c r="U51" s="23"/>
      <c r="V51" s="13"/>
      <c r="AB51" s="31">
        <v>290.88499706932964</v>
      </c>
      <c r="AC51" s="32">
        <v>0.98109999999999997</v>
      </c>
      <c r="AD51" s="33">
        <v>0.3</v>
      </c>
      <c r="AE51" s="34">
        <v>0.03</v>
      </c>
      <c r="AG51" s="31">
        <v>297.00204255277822</v>
      </c>
      <c r="AH51" s="32">
        <v>1.0017316358157895</v>
      </c>
      <c r="AI51" s="33">
        <v>0.3</v>
      </c>
      <c r="AJ51" s="34">
        <v>0</v>
      </c>
    </row>
    <row r="52" spans="4:36" ht="16.5" thickBot="1" x14ac:dyDescent="0.3">
      <c r="D52" s="93" t="s">
        <v>52</v>
      </c>
      <c r="E52" s="89">
        <f>SUM(E48:E51)</f>
        <v>120075751885.60104</v>
      </c>
      <c r="F52" s="89">
        <f>SUM(F48:F51)</f>
        <v>120413300804.64211</v>
      </c>
      <c r="G52" s="102">
        <f>E52/K52</f>
        <v>321832.60450463259</v>
      </c>
      <c r="H52" s="102">
        <f>F52/L52</f>
        <v>322492.59516811848</v>
      </c>
      <c r="I52" s="89">
        <f>SUM(I48:I51)</f>
        <v>75222319184.647034</v>
      </c>
      <c r="J52" s="89">
        <f>SUM(J48:J51)</f>
        <v>75533209386.026871</v>
      </c>
      <c r="K52" s="89">
        <f>SUM(K48:K51)</f>
        <v>373100.02220074204</v>
      </c>
      <c r="L52" s="89">
        <f>SUM(L48:L51)</f>
        <v>373383.14928399981</v>
      </c>
      <c r="M52" s="103">
        <f t="shared" si="4"/>
        <v>1.0041329515594528</v>
      </c>
      <c r="N52" s="104">
        <f t="shared" si="5"/>
        <v>1.0020507265399718</v>
      </c>
      <c r="O52" s="98"/>
      <c r="P52" s="107"/>
      <c r="Q52" s="99"/>
      <c r="R52" s="98"/>
      <c r="S52" s="107"/>
      <c r="T52" s="107"/>
      <c r="U52" s="23"/>
      <c r="V52" s="13"/>
      <c r="AB52" s="31">
        <v>291.6855163763189</v>
      </c>
      <c r="AC52" s="32">
        <v>0.98379999999999979</v>
      </c>
      <c r="AD52" s="33">
        <v>0.4</v>
      </c>
      <c r="AE52" s="34">
        <v>4.0000000000000008E-2</v>
      </c>
      <c r="AG52" s="31">
        <v>297.17317933095273</v>
      </c>
      <c r="AH52" s="32">
        <v>1.0023088477543858</v>
      </c>
      <c r="AI52" s="33">
        <v>0.4</v>
      </c>
      <c r="AJ52" s="34">
        <v>0</v>
      </c>
    </row>
    <row r="53" spans="4:36" x14ac:dyDescent="0.25">
      <c r="AB53" s="31">
        <v>292.48603568330816</v>
      </c>
      <c r="AC53" s="32">
        <v>0.98649999999999971</v>
      </c>
      <c r="AD53" s="33">
        <v>0.5</v>
      </c>
      <c r="AE53" s="34">
        <v>0.05</v>
      </c>
      <c r="AG53" s="31">
        <v>297.34431610912725</v>
      </c>
      <c r="AH53" s="32">
        <v>1.0028860596929823</v>
      </c>
      <c r="AI53" s="33">
        <v>0.5</v>
      </c>
      <c r="AJ53" s="34">
        <v>0</v>
      </c>
    </row>
    <row r="54" spans="4:36" x14ac:dyDescent="0.25">
      <c r="AB54" s="31">
        <v>293.28655499029742</v>
      </c>
      <c r="AC54" s="32">
        <v>0.98919999999999964</v>
      </c>
      <c r="AD54" s="33">
        <v>0.6</v>
      </c>
      <c r="AE54" s="34">
        <v>0.06</v>
      </c>
      <c r="AG54" s="31">
        <v>297.51545288730176</v>
      </c>
      <c r="AH54" s="32">
        <v>1.0034632716315788</v>
      </c>
      <c r="AI54" s="33">
        <v>0.6</v>
      </c>
      <c r="AJ54" s="34">
        <v>0</v>
      </c>
    </row>
    <row r="55" spans="4:36" x14ac:dyDescent="0.25">
      <c r="AB55" s="31">
        <v>294.08707429728668</v>
      </c>
      <c r="AC55" s="32">
        <v>0.99189999999999956</v>
      </c>
      <c r="AD55" s="33">
        <v>0.7</v>
      </c>
      <c r="AE55" s="34">
        <v>6.9999999999999993E-2</v>
      </c>
      <c r="AG55" s="31">
        <v>297.68658966547628</v>
      </c>
      <c r="AH55" s="32">
        <v>1.0040404835701753</v>
      </c>
      <c r="AI55" s="33">
        <v>0.7</v>
      </c>
      <c r="AJ55" s="34">
        <v>0</v>
      </c>
    </row>
    <row r="56" spans="4:36" x14ac:dyDescent="0.25">
      <c r="AB56" s="31">
        <v>294.88759360427593</v>
      </c>
      <c r="AC56" s="32">
        <v>0.99459999999999948</v>
      </c>
      <c r="AD56" s="33">
        <v>0.8</v>
      </c>
      <c r="AE56" s="34">
        <v>8.0000000000000016E-2</v>
      </c>
      <c r="AG56" s="31">
        <v>297.85772644365079</v>
      </c>
      <c r="AH56" s="32">
        <v>1.0046176955087718</v>
      </c>
      <c r="AI56" s="33">
        <v>0.8</v>
      </c>
      <c r="AJ56" s="34">
        <v>0</v>
      </c>
    </row>
    <row r="57" spans="4:36" x14ac:dyDescent="0.25">
      <c r="AB57" s="31">
        <v>295.68811291126519</v>
      </c>
      <c r="AC57" s="32">
        <v>0.9972999999999993</v>
      </c>
      <c r="AD57" s="33">
        <v>0.9</v>
      </c>
      <c r="AE57" s="34">
        <v>9.0000000000000011E-2</v>
      </c>
      <c r="AG57" s="31">
        <v>298.0288632218253</v>
      </c>
      <c r="AH57" s="32">
        <v>1.0051949074473683</v>
      </c>
      <c r="AI57" s="33">
        <v>0.9</v>
      </c>
      <c r="AJ57" s="34">
        <v>0</v>
      </c>
    </row>
    <row r="58" spans="4:36" x14ac:dyDescent="0.25">
      <c r="AB58" s="78">
        <v>296.48863221825468</v>
      </c>
      <c r="AC58" s="40">
        <v>1</v>
      </c>
      <c r="AD58" s="41">
        <v>1</v>
      </c>
      <c r="AE58" s="41">
        <v>0.1</v>
      </c>
      <c r="AG58" s="78">
        <v>298.2</v>
      </c>
      <c r="AH58" s="42">
        <v>1.0057721193859652</v>
      </c>
      <c r="AI58" s="41">
        <v>1</v>
      </c>
      <c r="AJ58" s="41">
        <v>0</v>
      </c>
    </row>
    <row r="60" spans="4:36" x14ac:dyDescent="0.25">
      <c r="AB60" s="7" t="s">
        <v>18</v>
      </c>
      <c r="AC60" s="8" t="s">
        <v>19</v>
      </c>
      <c r="AD60" s="8"/>
      <c r="AE60" s="9" t="s">
        <v>3</v>
      </c>
      <c r="AG60" s="7" t="s">
        <v>18</v>
      </c>
      <c r="AH60" s="8" t="s">
        <v>19</v>
      </c>
      <c r="AI60" s="8"/>
      <c r="AJ60" s="10" t="s">
        <v>4</v>
      </c>
    </row>
    <row r="61" spans="4:36" x14ac:dyDescent="0.25">
      <c r="AB61" s="75" t="s">
        <v>25</v>
      </c>
      <c r="AC61" s="76" t="s">
        <v>9</v>
      </c>
      <c r="AD61" s="77" t="s">
        <v>10</v>
      </c>
      <c r="AE61" s="21" t="s">
        <v>11</v>
      </c>
      <c r="AG61" s="75" t="s">
        <v>25</v>
      </c>
      <c r="AH61" s="76" t="s">
        <v>9</v>
      </c>
      <c r="AI61" s="77" t="s">
        <v>10</v>
      </c>
      <c r="AJ61" s="21" t="s">
        <v>11</v>
      </c>
    </row>
    <row r="62" spans="4:36" x14ac:dyDescent="0.25">
      <c r="AB62" s="27">
        <v>36.138192999999994</v>
      </c>
      <c r="AC62" s="79">
        <v>1</v>
      </c>
      <c r="AD62" s="29">
        <v>0</v>
      </c>
      <c r="AE62" s="30">
        <v>0</v>
      </c>
      <c r="AG62" s="27">
        <v>37.140999999999998</v>
      </c>
      <c r="AH62" s="28">
        <v>1</v>
      </c>
      <c r="AI62" s="29">
        <v>0</v>
      </c>
      <c r="AJ62" s="30">
        <v>0</v>
      </c>
    </row>
    <row r="63" spans="4:36" x14ac:dyDescent="0.25">
      <c r="AB63" s="31">
        <v>36.238473699999993</v>
      </c>
      <c r="AC63" s="79">
        <v>1.0027749229188079</v>
      </c>
      <c r="AD63" s="33">
        <v>0.1</v>
      </c>
      <c r="AE63" s="34">
        <v>5.000000000000001E-3</v>
      </c>
      <c r="AG63" s="31">
        <v>37.5124</v>
      </c>
      <c r="AH63" s="32">
        <v>1.0099997307557687</v>
      </c>
      <c r="AI63" s="33">
        <v>0.1</v>
      </c>
      <c r="AJ63" s="34">
        <v>1.0000000000000002E-2</v>
      </c>
    </row>
    <row r="64" spans="4:36" x14ac:dyDescent="0.25">
      <c r="AB64" s="31">
        <v>36.338754399999992</v>
      </c>
      <c r="AC64" s="79">
        <v>1.0055498458376155</v>
      </c>
      <c r="AD64" s="33">
        <v>0.2</v>
      </c>
      <c r="AE64" s="34">
        <v>1.0000000000000002E-2</v>
      </c>
      <c r="AG64" s="31">
        <v>37.883800000000001</v>
      </c>
      <c r="AH64" s="32">
        <v>1.0199994615115371</v>
      </c>
      <c r="AI64" s="33">
        <v>0.2</v>
      </c>
      <c r="AJ64" s="34">
        <v>2.0000000000000004E-2</v>
      </c>
    </row>
    <row r="65" spans="28:36" x14ac:dyDescent="0.25">
      <c r="AB65" s="31">
        <v>36.439035099999991</v>
      </c>
      <c r="AC65" s="79">
        <v>1.0083247687564234</v>
      </c>
      <c r="AD65" s="33">
        <v>0.3</v>
      </c>
      <c r="AE65" s="34">
        <v>1.4999999999999999E-2</v>
      </c>
      <c r="AG65" s="31">
        <v>38.255200000000002</v>
      </c>
      <c r="AH65" s="32">
        <v>1.0299991922673057</v>
      </c>
      <c r="AI65" s="33">
        <v>0.3</v>
      </c>
      <c r="AJ65" s="34">
        <v>0.03</v>
      </c>
    </row>
    <row r="66" spans="28:36" x14ac:dyDescent="0.25">
      <c r="AB66" s="31">
        <v>36.53931579999999</v>
      </c>
      <c r="AC66" s="79">
        <v>1.0110996916752311</v>
      </c>
      <c r="AD66" s="33">
        <v>0.4</v>
      </c>
      <c r="AE66" s="34">
        <v>2.0000000000000004E-2</v>
      </c>
      <c r="AG66" s="31">
        <v>38.626600000000003</v>
      </c>
      <c r="AH66" s="32">
        <v>1.0399989230230744</v>
      </c>
      <c r="AI66" s="33">
        <v>0.4</v>
      </c>
      <c r="AJ66" s="34">
        <v>4.0000000000000008E-2</v>
      </c>
    </row>
    <row r="67" spans="28:36" x14ac:dyDescent="0.25">
      <c r="AB67" s="31">
        <v>36.639596499999989</v>
      </c>
      <c r="AC67" s="79">
        <v>1.0138746145940389</v>
      </c>
      <c r="AD67" s="33">
        <v>0.5</v>
      </c>
      <c r="AE67" s="34">
        <v>2.5000000000000001E-2</v>
      </c>
      <c r="AG67" s="31">
        <v>38.998000000000005</v>
      </c>
      <c r="AH67" s="32">
        <v>1.049998653778843</v>
      </c>
      <c r="AI67" s="33">
        <v>0.5</v>
      </c>
      <c r="AJ67" s="34">
        <v>0.05</v>
      </c>
    </row>
    <row r="68" spans="28:36" x14ac:dyDescent="0.25">
      <c r="AB68" s="31">
        <v>36.739877199999988</v>
      </c>
      <c r="AC68" s="79">
        <v>1.0166495375128468</v>
      </c>
      <c r="AD68" s="33">
        <v>0.6</v>
      </c>
      <c r="AE68" s="34">
        <v>0.03</v>
      </c>
      <c r="AG68" s="31">
        <v>39.369400000000006</v>
      </c>
      <c r="AH68" s="32">
        <v>1.0599983845346115</v>
      </c>
      <c r="AI68" s="33">
        <v>0.6</v>
      </c>
      <c r="AJ68" s="34">
        <v>0.06</v>
      </c>
    </row>
    <row r="69" spans="28:36" x14ac:dyDescent="0.25">
      <c r="AB69" s="31">
        <v>36.840157899999987</v>
      </c>
      <c r="AC69" s="79">
        <v>1.0194244604316545</v>
      </c>
      <c r="AD69" s="33">
        <v>0.7</v>
      </c>
      <c r="AE69" s="34">
        <v>3.4999999999999996E-2</v>
      </c>
      <c r="AG69" s="31">
        <v>39.740800000000007</v>
      </c>
      <c r="AH69" s="32">
        <v>1.0699981152903801</v>
      </c>
      <c r="AI69" s="33">
        <v>0.7</v>
      </c>
      <c r="AJ69" s="34">
        <v>6.9999999999999993E-2</v>
      </c>
    </row>
    <row r="70" spans="28:36" x14ac:dyDescent="0.25">
      <c r="AB70" s="31">
        <v>36.940438599999986</v>
      </c>
      <c r="AC70" s="79">
        <v>1.0221993833504623</v>
      </c>
      <c r="AD70" s="33">
        <v>0.8</v>
      </c>
      <c r="AE70" s="34">
        <v>4.0000000000000008E-2</v>
      </c>
      <c r="AG70" s="31">
        <v>40.112200000000009</v>
      </c>
      <c r="AH70" s="32">
        <v>1.0799978460461488</v>
      </c>
      <c r="AI70" s="33">
        <v>0.8</v>
      </c>
      <c r="AJ70" s="34">
        <v>8.0000000000000016E-2</v>
      </c>
    </row>
    <row r="71" spans="28:36" x14ac:dyDescent="0.25">
      <c r="AB71" s="31">
        <v>37.040719299999985</v>
      </c>
      <c r="AC71" s="79">
        <v>1.02497430626927</v>
      </c>
      <c r="AD71" s="33">
        <v>0.9</v>
      </c>
      <c r="AE71" s="34">
        <v>4.5000000000000005E-2</v>
      </c>
      <c r="AG71" s="31">
        <v>40.48360000000001</v>
      </c>
      <c r="AH71" s="32">
        <v>1.0899975768019174</v>
      </c>
      <c r="AI71" s="33">
        <v>0.9</v>
      </c>
      <c r="AJ71" s="34">
        <v>9.0000000000000011E-2</v>
      </c>
    </row>
    <row r="72" spans="28:36" x14ac:dyDescent="0.25">
      <c r="AB72" s="78">
        <v>37.140999999999998</v>
      </c>
      <c r="AC72" s="79">
        <v>1.0277492291880783</v>
      </c>
      <c r="AD72" s="41">
        <v>1</v>
      </c>
      <c r="AE72" s="41">
        <v>0.05</v>
      </c>
      <c r="AG72" s="78">
        <v>40.854999999999997</v>
      </c>
      <c r="AH72" s="81">
        <v>1.0999973075576857</v>
      </c>
      <c r="AI72" s="41">
        <v>1</v>
      </c>
      <c r="AJ72" s="41">
        <v>0.1</v>
      </c>
    </row>
    <row r="74" spans="28:36" x14ac:dyDescent="0.25">
      <c r="AB74" s="7" t="s">
        <v>20</v>
      </c>
      <c r="AC74" s="8" t="s">
        <v>71</v>
      </c>
      <c r="AD74" s="8"/>
      <c r="AE74" s="9" t="s">
        <v>3</v>
      </c>
      <c r="AG74" s="7" t="s">
        <v>20</v>
      </c>
      <c r="AH74" s="8" t="s">
        <v>71</v>
      </c>
      <c r="AI74" s="8"/>
      <c r="AJ74" s="10" t="s">
        <v>4</v>
      </c>
    </row>
    <row r="75" spans="28:36" x14ac:dyDescent="0.25">
      <c r="AB75" s="75" t="s">
        <v>25</v>
      </c>
      <c r="AC75" s="76" t="s">
        <v>9</v>
      </c>
      <c r="AD75" s="77" t="s">
        <v>10</v>
      </c>
      <c r="AE75" s="21" t="s">
        <v>11</v>
      </c>
      <c r="AG75" s="75" t="s">
        <v>25</v>
      </c>
      <c r="AH75" s="76" t="s">
        <v>9</v>
      </c>
      <c r="AI75" s="77" t="s">
        <v>10</v>
      </c>
      <c r="AJ75" s="21" t="s">
        <v>11</v>
      </c>
    </row>
    <row r="76" spans="28:36" x14ac:dyDescent="0.25">
      <c r="AB76" s="27">
        <v>197.90819999999999</v>
      </c>
      <c r="AC76" s="79">
        <v>1</v>
      </c>
      <c r="AD76" s="29">
        <v>0</v>
      </c>
      <c r="AE76" s="30">
        <v>0</v>
      </c>
      <c r="AG76" s="27">
        <v>203.4</v>
      </c>
      <c r="AH76" s="28">
        <v>1</v>
      </c>
      <c r="AI76" s="29">
        <v>0</v>
      </c>
      <c r="AJ76" s="30">
        <v>0</v>
      </c>
    </row>
    <row r="77" spans="28:36" x14ac:dyDescent="0.25">
      <c r="AB77" s="31">
        <v>198.45738</v>
      </c>
      <c r="AC77" s="79">
        <v>1.0027749229188079</v>
      </c>
      <c r="AD77" s="33">
        <v>0.1</v>
      </c>
      <c r="AE77" s="34">
        <v>5.000000000000001E-3</v>
      </c>
      <c r="AG77" s="31">
        <v>203.56</v>
      </c>
      <c r="AH77" s="32">
        <v>1.0007866273352999</v>
      </c>
      <c r="AI77" s="33">
        <v>0.1</v>
      </c>
      <c r="AJ77" s="34">
        <v>1.0000000000000002E-2</v>
      </c>
    </row>
    <row r="78" spans="28:36" x14ac:dyDescent="0.25">
      <c r="AB78" s="31">
        <v>199.00656000000001</v>
      </c>
      <c r="AC78" s="79">
        <v>1.0055498458376158</v>
      </c>
      <c r="AD78" s="33">
        <v>0.2</v>
      </c>
      <c r="AE78" s="34">
        <v>1.0000000000000002E-2</v>
      </c>
      <c r="AG78" s="31">
        <v>203.72</v>
      </c>
      <c r="AH78" s="32">
        <v>1.0015732546705998</v>
      </c>
      <c r="AI78" s="33">
        <v>0.2</v>
      </c>
      <c r="AJ78" s="34">
        <v>2.0000000000000004E-2</v>
      </c>
    </row>
    <row r="79" spans="28:36" x14ac:dyDescent="0.25">
      <c r="AB79" s="31">
        <v>199.55574000000001</v>
      </c>
      <c r="AC79" s="79">
        <v>1.0083247687564236</v>
      </c>
      <c r="AD79" s="33">
        <v>0.3</v>
      </c>
      <c r="AE79" s="34">
        <v>1.4999999999999999E-2</v>
      </c>
      <c r="AG79" s="31">
        <v>203.88</v>
      </c>
      <c r="AH79" s="32">
        <v>1.0023598820058996</v>
      </c>
      <c r="AI79" s="33">
        <v>0.3</v>
      </c>
      <c r="AJ79" s="34">
        <v>0.03</v>
      </c>
    </row>
    <row r="80" spans="28:36" x14ac:dyDescent="0.25">
      <c r="AB80" s="31">
        <v>200.10492000000002</v>
      </c>
      <c r="AC80" s="79">
        <v>1.0110996916752313</v>
      </c>
      <c r="AD80" s="33">
        <v>0.4</v>
      </c>
      <c r="AE80" s="34">
        <v>2.0000000000000004E-2</v>
      </c>
      <c r="AG80" s="31">
        <v>204.04</v>
      </c>
      <c r="AH80" s="32">
        <v>1.0031465093411995</v>
      </c>
      <c r="AI80" s="33">
        <v>0.4</v>
      </c>
      <c r="AJ80" s="34">
        <v>4.0000000000000008E-2</v>
      </c>
    </row>
    <row r="81" spans="28:36" x14ac:dyDescent="0.25">
      <c r="AB81" s="31">
        <v>200.65410000000003</v>
      </c>
      <c r="AC81" s="79">
        <v>1.0138746145940392</v>
      </c>
      <c r="AD81" s="33">
        <v>0.5</v>
      </c>
      <c r="AE81" s="34">
        <v>2.5000000000000001E-2</v>
      </c>
      <c r="AG81" s="31">
        <v>204.2</v>
      </c>
      <c r="AH81" s="32">
        <v>1.0039331366764994</v>
      </c>
      <c r="AI81" s="33">
        <v>0.5</v>
      </c>
      <c r="AJ81" s="34">
        <v>0.05</v>
      </c>
    </row>
    <row r="82" spans="28:36" x14ac:dyDescent="0.25">
      <c r="AB82" s="31">
        <v>201.20328000000003</v>
      </c>
      <c r="AC82" s="79">
        <v>1.016649537512847</v>
      </c>
      <c r="AD82" s="33">
        <v>0.6</v>
      </c>
      <c r="AE82" s="34">
        <v>0.03</v>
      </c>
      <c r="AG82" s="31">
        <v>204.35999999999999</v>
      </c>
      <c r="AH82" s="32">
        <v>1.0047197640117993</v>
      </c>
      <c r="AI82" s="33">
        <v>0.6</v>
      </c>
      <c r="AJ82" s="34">
        <v>0.06</v>
      </c>
    </row>
    <row r="83" spans="28:36" x14ac:dyDescent="0.25">
      <c r="AB83" s="31">
        <v>201.75246000000004</v>
      </c>
      <c r="AC83" s="79">
        <v>1.0194244604316549</v>
      </c>
      <c r="AD83" s="33">
        <v>0.7</v>
      </c>
      <c r="AE83" s="34">
        <v>3.4999999999999996E-2</v>
      </c>
      <c r="AG83" s="31">
        <v>204.51999999999998</v>
      </c>
      <c r="AH83" s="32">
        <v>1.0055063913470992</v>
      </c>
      <c r="AI83" s="33">
        <v>0.7</v>
      </c>
      <c r="AJ83" s="34">
        <v>6.9999999999999993E-2</v>
      </c>
    </row>
    <row r="84" spans="28:36" x14ac:dyDescent="0.25">
      <c r="AB84" s="31">
        <v>202.30164000000005</v>
      </c>
      <c r="AC84" s="79">
        <v>1.0221993833504628</v>
      </c>
      <c r="AD84" s="33">
        <v>0.8</v>
      </c>
      <c r="AE84" s="34">
        <v>4.0000000000000008E-2</v>
      </c>
      <c r="AG84" s="31">
        <v>204.67999999999998</v>
      </c>
      <c r="AH84" s="32">
        <v>1.0062930186823991</v>
      </c>
      <c r="AI84" s="33">
        <v>0.8</v>
      </c>
      <c r="AJ84" s="34">
        <v>8.0000000000000016E-2</v>
      </c>
    </row>
    <row r="85" spans="28:36" x14ac:dyDescent="0.25">
      <c r="AB85" s="31">
        <v>202.85082000000006</v>
      </c>
      <c r="AC85" s="79">
        <v>1.0249743062692707</v>
      </c>
      <c r="AD85" s="33">
        <v>0.9</v>
      </c>
      <c r="AE85" s="34">
        <v>4.5000000000000005E-2</v>
      </c>
      <c r="AG85" s="31">
        <v>204.83999999999997</v>
      </c>
      <c r="AH85" s="32">
        <v>1.0070796460176989</v>
      </c>
      <c r="AI85" s="33">
        <v>0.9</v>
      </c>
      <c r="AJ85" s="34">
        <v>9.0000000000000011E-2</v>
      </c>
    </row>
    <row r="86" spans="28:36" x14ac:dyDescent="0.25">
      <c r="AB86" s="78">
        <v>203.4</v>
      </c>
      <c r="AC86" s="79">
        <v>1.0277492291880781</v>
      </c>
      <c r="AD86" s="41">
        <v>1</v>
      </c>
      <c r="AE86" s="41">
        <v>0.05</v>
      </c>
      <c r="AG86" s="78">
        <v>205</v>
      </c>
      <c r="AH86" s="81">
        <v>1.0078662733529991</v>
      </c>
      <c r="AI86" s="41">
        <v>1</v>
      </c>
      <c r="AJ86" s="41">
        <v>0.1</v>
      </c>
    </row>
  </sheetData>
  <mergeCells count="14">
    <mergeCell ref="N3:O3"/>
    <mergeCell ref="P3:Q3"/>
    <mergeCell ref="B12:B19"/>
    <mergeCell ref="C3:C4"/>
    <mergeCell ref="J2:Q2"/>
    <mergeCell ref="D3:E3"/>
    <mergeCell ref="O5:O20"/>
    <mergeCell ref="N5:N20"/>
    <mergeCell ref="H3:I3"/>
    <mergeCell ref="F3:G3"/>
    <mergeCell ref="L3:M3"/>
    <mergeCell ref="B5:B11"/>
    <mergeCell ref="J3:K3"/>
    <mergeCell ref="D2:I2"/>
  </mergeCells>
  <conditionalFormatting sqref="D5:D20">
    <cfRule type="cellIs" dxfId="16" priority="8" operator="lessThan">
      <formula>1</formula>
    </cfRule>
    <cfRule type="cellIs" dxfId="15" priority="9" operator="greaterThan">
      <formula>#REF!</formula>
    </cfRule>
  </conditionalFormatting>
  <conditionalFormatting sqref="F5:F20">
    <cfRule type="cellIs" dxfId="14" priority="10" operator="lessThan">
      <formula>1</formula>
    </cfRule>
  </conditionalFormatting>
  <conditionalFormatting sqref="H5:H20">
    <cfRule type="cellIs" dxfId="13" priority="7" operator="lessThan">
      <formula>1</formula>
    </cfRule>
  </conditionalFormatting>
  <conditionalFormatting sqref="J5">
    <cfRule type="cellIs" dxfId="12" priority="4" operator="lessThan">
      <formula>1</formula>
    </cfRule>
    <cfRule type="cellIs" dxfId="11" priority="5" operator="greaterThan">
      <formula>#REF!</formula>
    </cfRule>
  </conditionalFormatting>
  <conditionalFormatting sqref="J20">
    <cfRule type="cellIs" dxfId="10" priority="1" operator="lessThan">
      <formula>1</formula>
    </cfRule>
    <cfRule type="cellIs" dxfId="9" priority="2" operator="greaterThan">
      <formula>#REF!</formula>
    </cfRule>
  </conditionalFormatting>
  <conditionalFormatting sqref="L5">
    <cfRule type="cellIs" dxfId="8" priority="6" operator="lessThan">
      <formula>1</formula>
    </cfRule>
  </conditionalFormatting>
  <conditionalFormatting sqref="L20">
    <cfRule type="cellIs" dxfId="7" priority="3" operator="lessThan">
      <formula>1</formula>
    </cfRule>
  </conditionalFormatting>
  <conditionalFormatting sqref="P5:P20">
    <cfRule type="cellIs" dxfId="6" priority="11" operator="less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Q84"/>
  <sheetViews>
    <sheetView zoomScale="80" zoomScaleNormal="80" workbookViewId="0">
      <selection activeCell="J5" sqref="J5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0.15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1.4999999999999999E-2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0.03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4.4999999999999998E-2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0.06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7.4999999999999997E-2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0.09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0.105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0.12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0.13500000000000001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0.15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25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25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25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25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25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25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25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25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25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25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25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25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25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25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25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25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25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25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5" priority="2" percent="1" rank="10"/>
  </conditionalFormatting>
  <conditionalFormatting sqref="C26:F32">
    <cfRule type="top10" dxfId="4" priority="1" percent="1" rank="10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Q84"/>
  <sheetViews>
    <sheetView zoomScale="80" zoomScaleNormal="80" workbookViewId="0">
      <selection activeCell="A2" sqref="A2:G9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>
        <v>0.05</v>
      </c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0.15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23"/>
      <c r="C8" s="24"/>
      <c r="D8" s="24"/>
      <c r="E8" s="24"/>
      <c r="F8" s="24"/>
      <c r="G8" s="25"/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>
        <f t="shared" si="0"/>
        <v>0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5.000000000000001E-3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1.0000000000000002E-2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1.4999999999999999E-2</v>
      </c>
    </row>
    <row r="22" spans="1:35" ht="16.149999999999999" customHeight="1" thickBot="1" x14ac:dyDescent="0.3">
      <c r="A22" s="63" t="s">
        <v>20</v>
      </c>
      <c r="B22" s="64">
        <f>$B$8</f>
        <v>0</v>
      </c>
      <c r="C22" s="65">
        <v>0</v>
      </c>
      <c r="D22" s="65">
        <v>0</v>
      </c>
      <c r="E22" s="65">
        <v>0</v>
      </c>
      <c r="F22" s="66">
        <v>0</v>
      </c>
      <c r="G22" s="67">
        <f t="shared" si="16"/>
        <v>0</v>
      </c>
      <c r="H22" s="68"/>
      <c r="I22" s="59">
        <v>0</v>
      </c>
      <c r="J22" s="59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2.0000000000000004E-2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2.5000000000000001E-2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0.03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3.4999999999999996E-2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4.0000000000000008E-2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4.5000000000000005E-2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0.05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79">
        <v>0.97299999999999998</v>
      </c>
      <c r="AC60" s="29">
        <v>0</v>
      </c>
      <c r="AD60" s="30">
        <f t="shared" ref="AD60:AD69" si="64">AD$70*AC60</f>
        <v>0</v>
      </c>
      <c r="AF60" s="27">
        <f>AA70</f>
        <v>37.140999999999998</v>
      </c>
      <c r="AG60" s="28">
        <f t="shared" ref="AG60:AG70" si="65">AF60/$AF$60</f>
        <v>1</v>
      </c>
      <c r="AH60" s="29">
        <v>0</v>
      </c>
      <c r="AI60" s="30">
        <f t="shared" ref="AI60:AI69" si="66">AI$70*AH60</f>
        <v>0</v>
      </c>
    </row>
    <row r="61" spans="12:35" x14ac:dyDescent="0.25">
      <c r="L61" s="31">
        <f t="shared" ref="L61:L69" si="67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8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69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0">AA60+(AA$70-AA$60)/10</f>
        <v>36.238473699999993</v>
      </c>
      <c r="AB61" s="80">
        <v>0.97570000000000001</v>
      </c>
      <c r="AC61" s="33">
        <v>0.1</v>
      </c>
      <c r="AD61" s="34">
        <f t="shared" si="64"/>
        <v>0</v>
      </c>
      <c r="AF61" s="31">
        <f t="shared" ref="AF61:AF69" si="71">AF60+(AF$70-AF$60)/10</f>
        <v>37.5124</v>
      </c>
      <c r="AG61" s="32">
        <f t="shared" si="65"/>
        <v>1.0099997307557687</v>
      </c>
      <c r="AH61" s="33">
        <v>0.1</v>
      </c>
      <c r="AI61" s="34">
        <f t="shared" si="66"/>
        <v>1.4999999999999999E-2</v>
      </c>
    </row>
    <row r="62" spans="12:35" x14ac:dyDescent="0.25">
      <c r="L62" s="31">
        <f t="shared" si="67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8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69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0"/>
        <v>36.338754399999992</v>
      </c>
      <c r="AB62" s="80">
        <v>0.97840000000000005</v>
      </c>
      <c r="AC62" s="33">
        <v>0.2</v>
      </c>
      <c r="AD62" s="34">
        <f t="shared" si="64"/>
        <v>0</v>
      </c>
      <c r="AF62" s="31">
        <f t="shared" si="71"/>
        <v>37.883800000000001</v>
      </c>
      <c r="AG62" s="32">
        <f t="shared" si="65"/>
        <v>1.0199994615115371</v>
      </c>
      <c r="AH62" s="33">
        <v>0.2</v>
      </c>
      <c r="AI62" s="34">
        <f t="shared" si="66"/>
        <v>0.03</v>
      </c>
    </row>
    <row r="63" spans="12:35" x14ac:dyDescent="0.25">
      <c r="L63" s="31">
        <f t="shared" si="67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8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69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0"/>
        <v>36.439035099999991</v>
      </c>
      <c r="AB63" s="80">
        <v>0.98109999999999997</v>
      </c>
      <c r="AC63" s="33">
        <v>0.3</v>
      </c>
      <c r="AD63" s="34">
        <f t="shared" si="64"/>
        <v>0</v>
      </c>
      <c r="AF63" s="31">
        <f t="shared" si="71"/>
        <v>38.255200000000002</v>
      </c>
      <c r="AG63" s="32">
        <f t="shared" si="65"/>
        <v>1.0299991922673057</v>
      </c>
      <c r="AH63" s="33">
        <v>0.3</v>
      </c>
      <c r="AI63" s="34">
        <f t="shared" si="66"/>
        <v>4.4999999999999998E-2</v>
      </c>
    </row>
    <row r="64" spans="12:35" x14ac:dyDescent="0.25">
      <c r="L64" s="31">
        <f t="shared" si="67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8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69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0"/>
        <v>36.53931579999999</v>
      </c>
      <c r="AB64" s="80">
        <v>0.98380000000000001</v>
      </c>
      <c r="AC64" s="33">
        <v>0.4</v>
      </c>
      <c r="AD64" s="34">
        <f t="shared" si="64"/>
        <v>0</v>
      </c>
      <c r="AF64" s="31">
        <f t="shared" si="71"/>
        <v>38.626600000000003</v>
      </c>
      <c r="AG64" s="32">
        <f t="shared" si="65"/>
        <v>1.0399989230230744</v>
      </c>
      <c r="AH64" s="33">
        <v>0.4</v>
      </c>
      <c r="AI64" s="34">
        <f t="shared" si="66"/>
        <v>0.06</v>
      </c>
    </row>
    <row r="65" spans="12:35" x14ac:dyDescent="0.25">
      <c r="L65" s="31">
        <f t="shared" si="67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8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69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0"/>
        <v>36.639596499999989</v>
      </c>
      <c r="AB65" s="80">
        <v>0.98650000000000004</v>
      </c>
      <c r="AC65" s="33">
        <v>0.5</v>
      </c>
      <c r="AD65" s="34">
        <f t="shared" si="64"/>
        <v>0</v>
      </c>
      <c r="AF65" s="31">
        <f t="shared" si="71"/>
        <v>38.998000000000005</v>
      </c>
      <c r="AG65" s="32">
        <f t="shared" si="65"/>
        <v>1.049998653778843</v>
      </c>
      <c r="AH65" s="33">
        <v>0.5</v>
      </c>
      <c r="AI65" s="34">
        <f t="shared" si="66"/>
        <v>7.4999999999999997E-2</v>
      </c>
    </row>
    <row r="66" spans="12:35" x14ac:dyDescent="0.25">
      <c r="L66" s="31">
        <f t="shared" si="67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8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69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0"/>
        <v>36.739877199999988</v>
      </c>
      <c r="AB66" s="80">
        <v>0.98919999999999997</v>
      </c>
      <c r="AC66" s="33">
        <v>0.6</v>
      </c>
      <c r="AD66" s="34">
        <f t="shared" si="64"/>
        <v>0</v>
      </c>
      <c r="AF66" s="31">
        <f t="shared" si="71"/>
        <v>39.369400000000006</v>
      </c>
      <c r="AG66" s="32">
        <f t="shared" si="65"/>
        <v>1.0599983845346115</v>
      </c>
      <c r="AH66" s="33">
        <v>0.6</v>
      </c>
      <c r="AI66" s="34">
        <f t="shared" si="66"/>
        <v>0.09</v>
      </c>
    </row>
    <row r="67" spans="12:35" x14ac:dyDescent="0.25">
      <c r="L67" s="31">
        <f t="shared" si="67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8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69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0"/>
        <v>36.840157899999987</v>
      </c>
      <c r="AB67" s="80">
        <v>0.9919</v>
      </c>
      <c r="AC67" s="33">
        <v>0.7</v>
      </c>
      <c r="AD67" s="34">
        <f t="shared" si="64"/>
        <v>0</v>
      </c>
      <c r="AF67" s="31">
        <f t="shared" si="71"/>
        <v>39.740800000000007</v>
      </c>
      <c r="AG67" s="32">
        <f t="shared" si="65"/>
        <v>1.0699981152903801</v>
      </c>
      <c r="AH67" s="33">
        <v>0.7</v>
      </c>
      <c r="AI67" s="34">
        <f t="shared" si="66"/>
        <v>0.105</v>
      </c>
    </row>
    <row r="68" spans="12:35" x14ac:dyDescent="0.25">
      <c r="L68" s="31">
        <f t="shared" si="67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8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69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0"/>
        <v>36.940438599999986</v>
      </c>
      <c r="AB68" s="80">
        <v>0.99460000000000004</v>
      </c>
      <c r="AC68" s="33">
        <v>0.8</v>
      </c>
      <c r="AD68" s="34">
        <f t="shared" si="64"/>
        <v>0</v>
      </c>
      <c r="AF68" s="31">
        <f t="shared" si="71"/>
        <v>40.112200000000009</v>
      </c>
      <c r="AG68" s="32">
        <f t="shared" si="65"/>
        <v>1.0799978460461488</v>
      </c>
      <c r="AH68" s="33">
        <v>0.8</v>
      </c>
      <c r="AI68" s="34">
        <f t="shared" si="66"/>
        <v>0.12</v>
      </c>
    </row>
    <row r="69" spans="12:35" x14ac:dyDescent="0.25">
      <c r="L69" s="31">
        <f t="shared" si="67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8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69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0"/>
        <v>37.040719299999985</v>
      </c>
      <c r="AB69" s="80">
        <v>0.99729999999999996</v>
      </c>
      <c r="AC69" s="33">
        <v>0.9</v>
      </c>
      <c r="AD69" s="34">
        <f t="shared" si="64"/>
        <v>0</v>
      </c>
      <c r="AF69" s="31">
        <f t="shared" si="71"/>
        <v>40.48360000000001</v>
      </c>
      <c r="AG69" s="32">
        <f t="shared" si="65"/>
        <v>1.0899975768019174</v>
      </c>
      <c r="AH69" s="33">
        <v>0.9</v>
      </c>
      <c r="AI69" s="34">
        <f t="shared" si="66"/>
        <v>0.13500000000000001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v>1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5"/>
        <v>1.0999973075576857</v>
      </c>
      <c r="AH70" s="41">
        <v>1</v>
      </c>
      <c r="AI70" s="41">
        <f>$G$7</f>
        <v>0.15</v>
      </c>
    </row>
    <row r="72" spans="12:35" x14ac:dyDescent="0.25">
      <c r="L72" s="7" t="str">
        <f>$A$8</f>
        <v>KPI 6</v>
      </c>
      <c r="M72" s="8">
        <f>VLOOKUP(L72,$A$3:$B$8,2,0)</f>
        <v>0</v>
      </c>
      <c r="N72" s="8"/>
      <c r="O72" s="9" t="str">
        <f>$C$2</f>
        <v>Q1</v>
      </c>
      <c r="Q72" s="7" t="str">
        <f>$A$8</f>
        <v>KPI 6</v>
      </c>
      <c r="R72" s="8">
        <f>VLOOKUP(Q72,$A$3:$B$8,2,0)</f>
        <v>0</v>
      </c>
      <c r="S72" s="8"/>
      <c r="T72" s="9" t="str">
        <f>$D$2</f>
        <v>Q2</v>
      </c>
      <c r="V72" s="7" t="str">
        <f>$A$8</f>
        <v>KPI 6</v>
      </c>
      <c r="W72" s="8">
        <f>VLOOKUP(V72,$A$3:$B$8,2,0)</f>
        <v>0</v>
      </c>
      <c r="X72" s="8"/>
      <c r="Y72" s="9" t="str">
        <f>$E$2</f>
        <v>Q3</v>
      </c>
      <c r="AA72" s="7" t="str">
        <f>$A$8</f>
        <v>KPI 6</v>
      </c>
      <c r="AB72" s="8">
        <f>VLOOKUP(AA72,$A$3:$B$8,2,0)</f>
        <v>0</v>
      </c>
      <c r="AC72" s="8"/>
      <c r="AD72" s="9" t="str">
        <f>$F$2</f>
        <v>Q4</v>
      </c>
      <c r="AF72" s="7" t="str">
        <f>$A$8</f>
        <v>KPI 6</v>
      </c>
      <c r="AG72" s="8">
        <f>VLOOKUP(AF72,$A$3:$B$8,2,0)</f>
        <v>0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2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3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4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5">AD$84*AC74</f>
        <v>0</v>
      </c>
      <c r="AF74" s="27">
        <f>AA84</f>
        <v>0</v>
      </c>
      <c r="AG74" s="28" t="e">
        <f t="shared" ref="AG74:AG84" si="76">AF74/$AF$74</f>
        <v>#DIV/0!</v>
      </c>
      <c r="AH74" s="29">
        <v>0</v>
      </c>
      <c r="AI74" s="30">
        <f t="shared" ref="AI74:AI83" si="77">AI$84*AH74</f>
        <v>0</v>
      </c>
    </row>
    <row r="75" spans="12:35" x14ac:dyDescent="0.25">
      <c r="L75" s="31">
        <f t="shared" ref="L75:L83" si="78">L74+(L$84-L$74)/10</f>
        <v>0</v>
      </c>
      <c r="M75" s="80">
        <v>0.97570000000000001</v>
      </c>
      <c r="N75" s="33">
        <v>0.1</v>
      </c>
      <c r="O75" s="34">
        <f t="shared" si="72"/>
        <v>0</v>
      </c>
      <c r="Q75" s="31">
        <f t="shared" ref="Q75:Q83" si="79">Q74+(Q$84-Q$74)/10</f>
        <v>0</v>
      </c>
      <c r="R75" s="80">
        <v>0.97570000000000001</v>
      </c>
      <c r="S75" s="33">
        <v>0.1</v>
      </c>
      <c r="T75" s="34">
        <f t="shared" si="73"/>
        <v>0</v>
      </c>
      <c r="V75" s="31">
        <f t="shared" ref="V75:V83" si="80">V74+(V$84-V$74)/10</f>
        <v>0</v>
      </c>
      <c r="W75" s="80">
        <v>0.97570000000000001</v>
      </c>
      <c r="X75" s="33">
        <v>0.1</v>
      </c>
      <c r="Y75" s="34">
        <f t="shared" si="74"/>
        <v>0</v>
      </c>
      <c r="AA75" s="31">
        <f t="shared" ref="AA75:AA83" si="81">AA74+(AA$84-AA$74)/10</f>
        <v>0</v>
      </c>
      <c r="AB75" s="80">
        <v>0.97570000000000001</v>
      </c>
      <c r="AC75" s="33">
        <v>0.1</v>
      </c>
      <c r="AD75" s="34">
        <f t="shared" si="75"/>
        <v>0</v>
      </c>
      <c r="AF75" s="31">
        <f t="shared" ref="AF75:AF83" si="82">AF74+(AF$84-AF$74)/10</f>
        <v>0</v>
      </c>
      <c r="AG75" s="32" t="e">
        <f t="shared" si="76"/>
        <v>#DIV/0!</v>
      </c>
      <c r="AH75" s="33">
        <v>0.1</v>
      </c>
      <c r="AI75" s="34">
        <f t="shared" si="77"/>
        <v>0</v>
      </c>
    </row>
    <row r="76" spans="12:35" x14ac:dyDescent="0.25">
      <c r="L76" s="31">
        <f t="shared" si="78"/>
        <v>0</v>
      </c>
      <c r="M76" s="80">
        <v>0.97840000000000005</v>
      </c>
      <c r="N76" s="33">
        <v>0.2</v>
      </c>
      <c r="O76" s="34">
        <f t="shared" si="72"/>
        <v>0</v>
      </c>
      <c r="Q76" s="31">
        <f t="shared" si="79"/>
        <v>0</v>
      </c>
      <c r="R76" s="80">
        <v>0.97840000000000005</v>
      </c>
      <c r="S76" s="33">
        <v>0.2</v>
      </c>
      <c r="T76" s="34">
        <f t="shared" si="73"/>
        <v>0</v>
      </c>
      <c r="V76" s="31">
        <f t="shared" si="80"/>
        <v>0</v>
      </c>
      <c r="W76" s="80">
        <v>0.97840000000000005</v>
      </c>
      <c r="X76" s="33">
        <v>0.2</v>
      </c>
      <c r="Y76" s="34">
        <f t="shared" si="74"/>
        <v>0</v>
      </c>
      <c r="AA76" s="31">
        <f t="shared" si="81"/>
        <v>0</v>
      </c>
      <c r="AB76" s="80">
        <v>0.97840000000000005</v>
      </c>
      <c r="AC76" s="33">
        <v>0.2</v>
      </c>
      <c r="AD76" s="34">
        <f t="shared" si="75"/>
        <v>0</v>
      </c>
      <c r="AF76" s="31">
        <f t="shared" si="82"/>
        <v>0</v>
      </c>
      <c r="AG76" s="32" t="e">
        <f t="shared" si="76"/>
        <v>#DIV/0!</v>
      </c>
      <c r="AH76" s="33">
        <v>0.2</v>
      </c>
      <c r="AI76" s="34">
        <f t="shared" si="77"/>
        <v>0</v>
      </c>
    </row>
    <row r="77" spans="12:35" x14ac:dyDescent="0.25">
      <c r="L77" s="31">
        <f t="shared" si="78"/>
        <v>0</v>
      </c>
      <c r="M77" s="80">
        <v>0.98109999999999997</v>
      </c>
      <c r="N77" s="33">
        <v>0.3</v>
      </c>
      <c r="O77" s="34">
        <f t="shared" si="72"/>
        <v>0</v>
      </c>
      <c r="Q77" s="31">
        <f t="shared" si="79"/>
        <v>0</v>
      </c>
      <c r="R77" s="80">
        <v>0.98109999999999997</v>
      </c>
      <c r="S77" s="33">
        <v>0.3</v>
      </c>
      <c r="T77" s="34">
        <f t="shared" si="73"/>
        <v>0</v>
      </c>
      <c r="V77" s="31">
        <f t="shared" si="80"/>
        <v>0</v>
      </c>
      <c r="W77" s="80">
        <v>0.98109999999999997</v>
      </c>
      <c r="X77" s="33">
        <v>0.3</v>
      </c>
      <c r="Y77" s="34">
        <f t="shared" si="74"/>
        <v>0</v>
      </c>
      <c r="AA77" s="31">
        <f t="shared" si="81"/>
        <v>0</v>
      </c>
      <c r="AB77" s="80">
        <v>0.98109999999999997</v>
      </c>
      <c r="AC77" s="33">
        <v>0.3</v>
      </c>
      <c r="AD77" s="34">
        <f t="shared" si="75"/>
        <v>0</v>
      </c>
      <c r="AF77" s="31">
        <f t="shared" si="82"/>
        <v>0</v>
      </c>
      <c r="AG77" s="32" t="e">
        <f t="shared" si="76"/>
        <v>#DIV/0!</v>
      </c>
      <c r="AH77" s="33">
        <v>0.3</v>
      </c>
      <c r="AI77" s="34">
        <f t="shared" si="77"/>
        <v>0</v>
      </c>
    </row>
    <row r="78" spans="12:35" x14ac:dyDescent="0.25">
      <c r="L78" s="31">
        <f t="shared" si="78"/>
        <v>0</v>
      </c>
      <c r="M78" s="80">
        <v>0.98380000000000001</v>
      </c>
      <c r="N78" s="33">
        <v>0.4</v>
      </c>
      <c r="O78" s="34">
        <f t="shared" si="72"/>
        <v>0</v>
      </c>
      <c r="Q78" s="31">
        <f t="shared" si="79"/>
        <v>0</v>
      </c>
      <c r="R78" s="80">
        <v>0.98380000000000001</v>
      </c>
      <c r="S78" s="33">
        <v>0.4</v>
      </c>
      <c r="T78" s="34">
        <f t="shared" si="73"/>
        <v>0</v>
      </c>
      <c r="V78" s="31">
        <f t="shared" si="80"/>
        <v>0</v>
      </c>
      <c r="W78" s="80">
        <v>0.98380000000000001</v>
      </c>
      <c r="X78" s="33">
        <v>0.4</v>
      </c>
      <c r="Y78" s="34">
        <f t="shared" si="74"/>
        <v>0</v>
      </c>
      <c r="AA78" s="31">
        <f t="shared" si="81"/>
        <v>0</v>
      </c>
      <c r="AB78" s="80">
        <v>0.98380000000000001</v>
      </c>
      <c r="AC78" s="33">
        <v>0.4</v>
      </c>
      <c r="AD78" s="34">
        <f t="shared" si="75"/>
        <v>0</v>
      </c>
      <c r="AF78" s="31">
        <f t="shared" si="82"/>
        <v>0</v>
      </c>
      <c r="AG78" s="32" t="e">
        <f t="shared" si="76"/>
        <v>#DIV/0!</v>
      </c>
      <c r="AH78" s="33">
        <v>0.4</v>
      </c>
      <c r="AI78" s="34">
        <f t="shared" si="77"/>
        <v>0</v>
      </c>
    </row>
    <row r="79" spans="12:35" x14ac:dyDescent="0.25">
      <c r="L79" s="31">
        <f t="shared" si="78"/>
        <v>0</v>
      </c>
      <c r="M79" s="80">
        <v>0.98650000000000004</v>
      </c>
      <c r="N79" s="33">
        <v>0.5</v>
      </c>
      <c r="O79" s="34">
        <f t="shared" si="72"/>
        <v>0</v>
      </c>
      <c r="Q79" s="31">
        <f t="shared" si="79"/>
        <v>0</v>
      </c>
      <c r="R79" s="80">
        <v>0.98650000000000004</v>
      </c>
      <c r="S79" s="33">
        <v>0.5</v>
      </c>
      <c r="T79" s="34">
        <f t="shared" si="73"/>
        <v>0</v>
      </c>
      <c r="V79" s="31">
        <f t="shared" si="80"/>
        <v>0</v>
      </c>
      <c r="W79" s="80">
        <v>0.98650000000000004</v>
      </c>
      <c r="X79" s="33">
        <v>0.5</v>
      </c>
      <c r="Y79" s="34">
        <f t="shared" si="74"/>
        <v>0</v>
      </c>
      <c r="AA79" s="31">
        <f t="shared" si="81"/>
        <v>0</v>
      </c>
      <c r="AB79" s="80">
        <v>0.98650000000000004</v>
      </c>
      <c r="AC79" s="33">
        <v>0.5</v>
      </c>
      <c r="AD79" s="34">
        <f t="shared" si="75"/>
        <v>0</v>
      </c>
      <c r="AF79" s="31">
        <f t="shared" si="82"/>
        <v>0</v>
      </c>
      <c r="AG79" s="32" t="e">
        <f t="shared" si="76"/>
        <v>#DIV/0!</v>
      </c>
      <c r="AH79" s="33">
        <v>0.5</v>
      </c>
      <c r="AI79" s="34">
        <f t="shared" si="77"/>
        <v>0</v>
      </c>
    </row>
    <row r="80" spans="12:35" x14ac:dyDescent="0.25">
      <c r="L80" s="31">
        <f t="shared" si="78"/>
        <v>0</v>
      </c>
      <c r="M80" s="80">
        <v>0.98919999999999997</v>
      </c>
      <c r="N80" s="33">
        <v>0.6</v>
      </c>
      <c r="O80" s="34">
        <f t="shared" si="72"/>
        <v>0</v>
      </c>
      <c r="Q80" s="31">
        <f t="shared" si="79"/>
        <v>0</v>
      </c>
      <c r="R80" s="80">
        <v>0.98919999999999997</v>
      </c>
      <c r="S80" s="33">
        <v>0.6</v>
      </c>
      <c r="T80" s="34">
        <f t="shared" si="73"/>
        <v>0</v>
      </c>
      <c r="V80" s="31">
        <f t="shared" si="80"/>
        <v>0</v>
      </c>
      <c r="W80" s="80">
        <v>0.98919999999999997</v>
      </c>
      <c r="X80" s="33">
        <v>0.6</v>
      </c>
      <c r="Y80" s="34">
        <f t="shared" si="74"/>
        <v>0</v>
      </c>
      <c r="AA80" s="31">
        <f t="shared" si="81"/>
        <v>0</v>
      </c>
      <c r="AB80" s="80">
        <v>0.98919999999999997</v>
      </c>
      <c r="AC80" s="33">
        <v>0.6</v>
      </c>
      <c r="AD80" s="34">
        <f t="shared" si="75"/>
        <v>0</v>
      </c>
      <c r="AF80" s="31">
        <f t="shared" si="82"/>
        <v>0</v>
      </c>
      <c r="AG80" s="32" t="e">
        <f t="shared" si="76"/>
        <v>#DIV/0!</v>
      </c>
      <c r="AH80" s="33">
        <v>0.6</v>
      </c>
      <c r="AI80" s="34">
        <f t="shared" si="77"/>
        <v>0</v>
      </c>
    </row>
    <row r="81" spans="12:35" x14ac:dyDescent="0.25">
      <c r="L81" s="31">
        <f t="shared" si="78"/>
        <v>0</v>
      </c>
      <c r="M81" s="80">
        <v>0.9919</v>
      </c>
      <c r="N81" s="33">
        <v>0.7</v>
      </c>
      <c r="O81" s="34">
        <f t="shared" si="72"/>
        <v>0</v>
      </c>
      <c r="Q81" s="31">
        <f t="shared" si="79"/>
        <v>0</v>
      </c>
      <c r="R81" s="80">
        <v>0.9919</v>
      </c>
      <c r="S81" s="33">
        <v>0.7</v>
      </c>
      <c r="T81" s="34">
        <f t="shared" si="73"/>
        <v>0</v>
      </c>
      <c r="V81" s="31">
        <f t="shared" si="80"/>
        <v>0</v>
      </c>
      <c r="W81" s="80">
        <v>0.9919</v>
      </c>
      <c r="X81" s="33">
        <v>0.7</v>
      </c>
      <c r="Y81" s="34">
        <f t="shared" si="74"/>
        <v>0</v>
      </c>
      <c r="AA81" s="31">
        <f t="shared" si="81"/>
        <v>0</v>
      </c>
      <c r="AB81" s="80">
        <v>0.9919</v>
      </c>
      <c r="AC81" s="33">
        <v>0.7</v>
      </c>
      <c r="AD81" s="34">
        <f t="shared" si="75"/>
        <v>0</v>
      </c>
      <c r="AF81" s="31">
        <f t="shared" si="82"/>
        <v>0</v>
      </c>
      <c r="AG81" s="32" t="e">
        <f t="shared" si="76"/>
        <v>#DIV/0!</v>
      </c>
      <c r="AH81" s="33">
        <v>0.7</v>
      </c>
      <c r="AI81" s="34">
        <f t="shared" si="77"/>
        <v>0</v>
      </c>
    </row>
    <row r="82" spans="12:35" x14ac:dyDescent="0.25">
      <c r="L82" s="31">
        <f t="shared" si="78"/>
        <v>0</v>
      </c>
      <c r="M82" s="80">
        <v>0.99460000000000004</v>
      </c>
      <c r="N82" s="33">
        <v>0.8</v>
      </c>
      <c r="O82" s="34">
        <f t="shared" si="72"/>
        <v>0</v>
      </c>
      <c r="Q82" s="31">
        <f t="shared" si="79"/>
        <v>0</v>
      </c>
      <c r="R82" s="80">
        <v>0.99460000000000004</v>
      </c>
      <c r="S82" s="33">
        <v>0.8</v>
      </c>
      <c r="T82" s="34">
        <f t="shared" si="73"/>
        <v>0</v>
      </c>
      <c r="V82" s="31">
        <f t="shared" si="80"/>
        <v>0</v>
      </c>
      <c r="W82" s="80">
        <v>0.99460000000000004</v>
      </c>
      <c r="X82" s="33">
        <v>0.8</v>
      </c>
      <c r="Y82" s="34">
        <f t="shared" si="74"/>
        <v>0</v>
      </c>
      <c r="AA82" s="31">
        <f t="shared" si="81"/>
        <v>0</v>
      </c>
      <c r="AB82" s="80">
        <v>0.99460000000000004</v>
      </c>
      <c r="AC82" s="33">
        <v>0.8</v>
      </c>
      <c r="AD82" s="34">
        <f t="shared" si="75"/>
        <v>0</v>
      </c>
      <c r="AF82" s="31">
        <f t="shared" si="82"/>
        <v>0</v>
      </c>
      <c r="AG82" s="32" t="e">
        <f t="shared" si="76"/>
        <v>#DIV/0!</v>
      </c>
      <c r="AH82" s="33">
        <v>0.8</v>
      </c>
      <c r="AI82" s="34">
        <f t="shared" si="77"/>
        <v>0</v>
      </c>
    </row>
    <row r="83" spans="12:35" x14ac:dyDescent="0.25">
      <c r="L83" s="31">
        <f t="shared" si="78"/>
        <v>0</v>
      </c>
      <c r="M83" s="80">
        <v>0.99729999999999996</v>
      </c>
      <c r="N83" s="33">
        <v>0.9</v>
      </c>
      <c r="O83" s="34">
        <f t="shared" si="72"/>
        <v>0</v>
      </c>
      <c r="Q83" s="31">
        <f t="shared" si="79"/>
        <v>0</v>
      </c>
      <c r="R83" s="80">
        <v>0.99729999999999996</v>
      </c>
      <c r="S83" s="33">
        <v>0.9</v>
      </c>
      <c r="T83" s="34">
        <f t="shared" si="73"/>
        <v>0</v>
      </c>
      <c r="V83" s="31">
        <f t="shared" si="80"/>
        <v>0</v>
      </c>
      <c r="W83" s="80">
        <v>0.99729999999999996</v>
      </c>
      <c r="X83" s="33">
        <v>0.9</v>
      </c>
      <c r="Y83" s="34">
        <f t="shared" si="74"/>
        <v>0</v>
      </c>
      <c r="AA83" s="31">
        <f t="shared" si="81"/>
        <v>0</v>
      </c>
      <c r="AB83" s="80">
        <v>0.99729999999999996</v>
      </c>
      <c r="AC83" s="33">
        <v>0.9</v>
      </c>
      <c r="AD83" s="34">
        <f t="shared" si="75"/>
        <v>0</v>
      </c>
      <c r="AF83" s="31">
        <f t="shared" si="82"/>
        <v>0</v>
      </c>
      <c r="AG83" s="32" t="e">
        <f t="shared" si="76"/>
        <v>#DIV/0!</v>
      </c>
      <c r="AH83" s="33">
        <v>0.9</v>
      </c>
      <c r="AI83" s="34">
        <f t="shared" si="77"/>
        <v>0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f>$AQ$8</f>
        <v>0</v>
      </c>
      <c r="AG84" s="81" t="e">
        <f t="shared" si="76"/>
        <v>#DIV/0!</v>
      </c>
      <c r="AH84" s="41">
        <v>1</v>
      </c>
      <c r="AI84" s="41">
        <f>$G$8</f>
        <v>0</v>
      </c>
    </row>
  </sheetData>
  <conditionalFormatting sqref="C17:F23">
    <cfRule type="top10" dxfId="3" priority="2" percent="1" rank="10"/>
  </conditionalFormatting>
  <conditionalFormatting sqref="C26:F32">
    <cfRule type="top10" dxfId="2" priority="1" percent="1" rank="1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Q84"/>
  <sheetViews>
    <sheetView zoomScale="80" zoomScaleNormal="80" workbookViewId="0">
      <selection activeCell="AK2" sqref="AK2:AQ8"/>
    </sheetView>
  </sheetViews>
  <sheetFormatPr defaultRowHeight="15" x14ac:dyDescent="0.25"/>
  <cols>
    <col min="2" max="2" width="17.5703125" customWidth="1"/>
    <col min="7" max="7" width="11.42578125" bestFit="1" customWidth="1"/>
    <col min="8" max="8" width="12.140625" customWidth="1"/>
    <col min="9" max="9" width="11.42578125" customWidth="1"/>
    <col min="10" max="10" width="11.28515625" customWidth="1"/>
    <col min="12" max="12" width="11" bestFit="1" customWidth="1"/>
    <col min="13" max="13" width="11.7109375" bestFit="1" customWidth="1"/>
    <col min="16" max="16" width="4" customWidth="1"/>
    <col min="17" max="17" width="11" bestFit="1" customWidth="1"/>
    <col min="18" max="18" width="11.7109375" bestFit="1" customWidth="1"/>
    <col min="21" max="21" width="4" customWidth="1"/>
    <col min="22" max="22" width="11" bestFit="1" customWidth="1"/>
    <col min="23" max="23" width="11.7109375" bestFit="1" customWidth="1"/>
    <col min="26" max="26" width="4" customWidth="1"/>
    <col min="27" max="27" width="11" bestFit="1" customWidth="1"/>
    <col min="28" max="28" width="11.7109375" bestFit="1" customWidth="1"/>
    <col min="31" max="31" width="4.28515625" customWidth="1"/>
    <col min="32" max="32" width="11" bestFit="1" customWidth="1"/>
    <col min="33" max="33" width="11.7109375" bestFit="1" customWidth="1"/>
    <col min="35" max="35" width="10" customWidth="1"/>
    <col min="38" max="38" width="14.42578125" customWidth="1"/>
    <col min="43" max="43" width="10.5703125" customWidth="1"/>
  </cols>
  <sheetData>
    <row r="2" spans="1:43" s="6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7" t="str">
        <f>$A$3</f>
        <v>KPI 1</v>
      </c>
      <c r="M2" s="8" t="str">
        <f>VLOOKUP(L2,$A$3:$B$8,2,0)</f>
        <v>NSV Total</v>
      </c>
      <c r="N2" s="8"/>
      <c r="O2" s="9" t="str">
        <f>$C$2</f>
        <v>Q1</v>
      </c>
      <c r="Q2" s="7" t="str">
        <f>$A$3</f>
        <v>KPI 1</v>
      </c>
      <c r="R2" s="8" t="str">
        <f>VLOOKUP(Q2,$A$3:$B$8,2,0)</f>
        <v>NSV Total</v>
      </c>
      <c r="S2" s="8"/>
      <c r="T2" s="9" t="str">
        <f>$D$2</f>
        <v>Q2</v>
      </c>
      <c r="V2" s="7" t="str">
        <f>$A$3</f>
        <v>KPI 1</v>
      </c>
      <c r="W2" s="8" t="str">
        <f>VLOOKUP(V2,$A$3:$B$8,2,0)</f>
        <v>NSV Total</v>
      </c>
      <c r="X2" s="8"/>
      <c r="Y2" s="9" t="str">
        <f>$E$2</f>
        <v>Q3</v>
      </c>
      <c r="AA2" s="7" t="str">
        <f>$A$3</f>
        <v>KPI 1</v>
      </c>
      <c r="AB2" s="8" t="str">
        <f>VLOOKUP(AA2,$A$3:$B$8,2,0)</f>
        <v>NSV Total</v>
      </c>
      <c r="AC2" s="8"/>
      <c r="AD2" s="9" t="str">
        <f>$F$2</f>
        <v>Q4</v>
      </c>
      <c r="AF2" s="7" t="str">
        <f>$A$3</f>
        <v>KPI 1</v>
      </c>
      <c r="AG2" s="8" t="str">
        <f>VLOOKUP(AF2,$A$3:$B$8,2,0)</f>
        <v>NSV Total</v>
      </c>
      <c r="AH2" s="8"/>
      <c r="AI2" s="10" t="str">
        <f>$G$2</f>
        <v>FY (200%)</v>
      </c>
      <c r="AL2" s="11" t="s">
        <v>5</v>
      </c>
      <c r="AM2" s="11" t="s">
        <v>0</v>
      </c>
      <c r="AN2" s="11" t="s">
        <v>1</v>
      </c>
      <c r="AO2" s="11" t="s">
        <v>2</v>
      </c>
      <c r="AP2" s="11" t="s">
        <v>3</v>
      </c>
      <c r="AQ2" s="12">
        <v>2</v>
      </c>
    </row>
    <row r="3" spans="1:43" ht="15.6" customHeight="1" x14ac:dyDescent="0.25">
      <c r="A3" s="13" t="s">
        <v>6</v>
      </c>
      <c r="B3" s="14" t="s">
        <v>7</v>
      </c>
      <c r="C3" s="15">
        <v>0.15</v>
      </c>
      <c r="D3" s="15">
        <v>0.15</v>
      </c>
      <c r="E3" s="15">
        <v>0.05</v>
      </c>
      <c r="F3" s="15">
        <v>0.05</v>
      </c>
      <c r="G3" s="16">
        <v>0.1</v>
      </c>
      <c r="H3" s="17"/>
      <c r="I3" s="17"/>
      <c r="L3" s="18" t="s">
        <v>8</v>
      </c>
      <c r="M3" s="19" t="s">
        <v>9</v>
      </c>
      <c r="N3" s="20" t="s">
        <v>10</v>
      </c>
      <c r="O3" s="21" t="s">
        <v>11</v>
      </c>
      <c r="Q3" s="18" t="s">
        <v>8</v>
      </c>
      <c r="R3" s="19" t="s">
        <v>9</v>
      </c>
      <c r="S3" s="20" t="s">
        <v>10</v>
      </c>
      <c r="T3" s="21" t="s">
        <v>11</v>
      </c>
      <c r="V3" s="18" t="s">
        <v>8</v>
      </c>
      <c r="W3" s="19" t="s">
        <v>9</v>
      </c>
      <c r="X3" s="20" t="s">
        <v>10</v>
      </c>
      <c r="Y3" s="21" t="s">
        <v>11</v>
      </c>
      <c r="AA3" s="18" t="s">
        <v>8</v>
      </c>
      <c r="AB3" s="19" t="s">
        <v>9</v>
      </c>
      <c r="AC3" s="20" t="s">
        <v>10</v>
      </c>
      <c r="AD3" s="21" t="s">
        <v>11</v>
      </c>
      <c r="AF3" s="18" t="s">
        <v>8</v>
      </c>
      <c r="AG3" s="19" t="s">
        <v>9</v>
      </c>
      <c r="AH3" s="20" t="s">
        <v>10</v>
      </c>
      <c r="AI3" s="21" t="s">
        <v>11</v>
      </c>
      <c r="AK3" s="13" t="s">
        <v>6</v>
      </c>
      <c r="AL3" s="11" t="str">
        <f t="shared" ref="AL3:AL8" si="0">VLOOKUP(AK3,$A$3:$B$8,2,0)</f>
        <v>NSV Total</v>
      </c>
      <c r="AM3" s="22">
        <v>28.741</v>
      </c>
      <c r="AN3" s="22">
        <v>54.506540253706298</v>
      </c>
      <c r="AO3" s="22">
        <v>83.345187165701205</v>
      </c>
      <c r="AP3" s="22">
        <v>126.18989500000001</v>
      </c>
      <c r="AQ3" s="22">
        <v>130.41999999999999</v>
      </c>
    </row>
    <row r="4" spans="1:43" ht="15.6" customHeight="1" x14ac:dyDescent="0.25">
      <c r="A4" s="13" t="s">
        <v>12</v>
      </c>
      <c r="B4" s="23" t="s">
        <v>13</v>
      </c>
      <c r="C4" s="24"/>
      <c r="D4" s="24"/>
      <c r="E4" s="24">
        <v>0.1</v>
      </c>
      <c r="F4" s="24">
        <v>0.1</v>
      </c>
      <c r="G4" s="25"/>
      <c r="H4" s="26"/>
      <c r="I4" s="26"/>
      <c r="L4" s="27">
        <f>L14*0.96</f>
        <v>27.591359999999998</v>
      </c>
      <c r="M4" s="28">
        <f t="shared" ref="M4:M13" si="1">L4/L$14</f>
        <v>0.96</v>
      </c>
      <c r="N4" s="29">
        <v>0.25</v>
      </c>
      <c r="O4" s="30">
        <f t="shared" ref="O4:O13" si="2">O$14*N4</f>
        <v>3.7499999999999999E-2</v>
      </c>
      <c r="Q4" s="27">
        <f>Q14*0.96</f>
        <v>52.326278643558041</v>
      </c>
      <c r="R4" s="28">
        <f t="shared" ref="R4:R13" si="3">Q4/Q$14</f>
        <v>0.95999999999999985</v>
      </c>
      <c r="S4" s="29">
        <v>0.25</v>
      </c>
      <c r="T4" s="30">
        <f t="shared" ref="T4:T13" si="4">T$14*S4</f>
        <v>3.7499999999999999E-2</v>
      </c>
      <c r="V4" s="27">
        <f>V14*0.96</f>
        <v>80.011379679073158</v>
      </c>
      <c r="W4" s="28">
        <f t="shared" ref="W4:W13" si="5">V4/V$14</f>
        <v>0.96000000000000008</v>
      </c>
      <c r="X4" s="29">
        <v>0.25</v>
      </c>
      <c r="Y4" s="30">
        <f t="shared" ref="Y4:Y13" si="6">Y$14*X4</f>
        <v>1.2500000000000001E-2</v>
      </c>
      <c r="AA4" s="27">
        <f>AA14*0.96</f>
        <v>121.1422992</v>
      </c>
      <c r="AB4" s="28">
        <f t="shared" ref="AB4:AB13" si="7">AA4/AA$14</f>
        <v>0.96</v>
      </c>
      <c r="AC4" s="29">
        <v>0.25</v>
      </c>
      <c r="AD4" s="30">
        <f t="shared" ref="AD4:AD13" si="8">AD$14*AC4</f>
        <v>1.2500000000000001E-2</v>
      </c>
      <c r="AF4" s="27">
        <f>AA14</f>
        <v>126.18989500000001</v>
      </c>
      <c r="AG4" s="28">
        <f t="shared" ref="AG4:AG14" si="9">AF4/$AF$4</f>
        <v>1</v>
      </c>
      <c r="AH4" s="29">
        <v>0</v>
      </c>
      <c r="AI4" s="30">
        <f t="shared" ref="AI4:AI13" si="10">AI$14*AH4</f>
        <v>0</v>
      </c>
      <c r="AK4" s="13" t="s">
        <v>12</v>
      </c>
      <c r="AL4" s="11" t="str">
        <f t="shared" si="0"/>
        <v>NSV Team</v>
      </c>
      <c r="AM4" s="22">
        <v>28.741</v>
      </c>
      <c r="AN4" s="22">
        <v>54.506540253706298</v>
      </c>
      <c r="AO4" s="22">
        <v>83.345187165701205</v>
      </c>
      <c r="AP4" s="22">
        <v>126.18989500000001</v>
      </c>
      <c r="AQ4" s="22">
        <v>130.41999999999999</v>
      </c>
    </row>
    <row r="5" spans="1:43" ht="15.6" customHeight="1" x14ac:dyDescent="0.25">
      <c r="A5" s="13" t="s">
        <v>14</v>
      </c>
      <c r="B5" s="14" t="s">
        <v>15</v>
      </c>
      <c r="C5" s="15">
        <v>0.15</v>
      </c>
      <c r="D5" s="15">
        <v>0.15</v>
      </c>
      <c r="E5" s="15">
        <v>0.05</v>
      </c>
      <c r="F5" s="15">
        <v>0.05</v>
      </c>
      <c r="G5" s="16"/>
      <c r="H5" s="17"/>
      <c r="I5" s="17"/>
      <c r="L5" s="31">
        <f t="shared" ref="L5:L13" si="11">L4+(L$14-L$4)/10</f>
        <v>27.706323999999999</v>
      </c>
      <c r="M5" s="32">
        <f t="shared" si="1"/>
        <v>0.96399999999999997</v>
      </c>
      <c r="N5" s="33">
        <v>0.32464454976303281</v>
      </c>
      <c r="O5" s="34">
        <f t="shared" si="2"/>
        <v>4.8696682464454917E-2</v>
      </c>
      <c r="Q5" s="31">
        <f t="shared" ref="Q5:Q13" si="12">Q4+(Q$14-Q$4)/10</f>
        <v>52.544304804572867</v>
      </c>
      <c r="R5" s="32">
        <f t="shared" si="3"/>
        <v>0.96399999999999997</v>
      </c>
      <c r="S5" s="33">
        <v>0.32464454976303281</v>
      </c>
      <c r="T5" s="34">
        <f t="shared" si="4"/>
        <v>4.8696682464454917E-2</v>
      </c>
      <c r="V5" s="31">
        <f t="shared" ref="V5:V13" si="13">V4+(V$14-V$4)/10</f>
        <v>80.344760427735963</v>
      </c>
      <c r="W5" s="32">
        <f t="shared" si="5"/>
        <v>0.96399999999999997</v>
      </c>
      <c r="X5" s="33">
        <v>0.32464454976303281</v>
      </c>
      <c r="Y5" s="34">
        <f t="shared" si="6"/>
        <v>1.6232227488151642E-2</v>
      </c>
      <c r="AA5" s="31">
        <f t="shared" ref="AA5:AA13" si="14">AA4+(AA$14-AA$4)/10</f>
        <v>121.64705877999999</v>
      </c>
      <c r="AB5" s="32">
        <f t="shared" si="7"/>
        <v>0.96399999999999986</v>
      </c>
      <c r="AC5" s="33">
        <v>0.32464454976303281</v>
      </c>
      <c r="AD5" s="34">
        <f t="shared" si="8"/>
        <v>1.6232227488151642E-2</v>
      </c>
      <c r="AF5" s="31">
        <f t="shared" ref="AF5:AF13" si="15">AF4+(AF$14-AF$4)/10</f>
        <v>126.61290550000001</v>
      </c>
      <c r="AG5" s="32">
        <f t="shared" si="9"/>
        <v>1.0033521741182208</v>
      </c>
      <c r="AH5" s="33">
        <v>0.1</v>
      </c>
      <c r="AI5" s="34">
        <f t="shared" si="10"/>
        <v>1.0000000000000002E-2</v>
      </c>
      <c r="AK5" s="13" t="s">
        <v>14</v>
      </c>
      <c r="AL5" s="11" t="str">
        <f t="shared" si="0"/>
        <v>LSV/t Total</v>
      </c>
      <c r="AM5" s="35">
        <v>288.02999999999997</v>
      </c>
      <c r="AN5" s="36">
        <v>292.95405216614267</v>
      </c>
      <c r="AO5" s="36">
        <v>294.91795885095809</v>
      </c>
      <c r="AP5" s="36">
        <v>296.48863221825468</v>
      </c>
      <c r="AQ5" s="36">
        <v>298.2</v>
      </c>
    </row>
    <row r="6" spans="1:43" ht="15.6" customHeight="1" x14ac:dyDescent="0.25">
      <c r="A6" s="13" t="s">
        <v>16</v>
      </c>
      <c r="B6" s="23" t="s">
        <v>17</v>
      </c>
      <c r="C6" s="24"/>
      <c r="D6" s="24"/>
      <c r="E6" s="24">
        <v>0.1</v>
      </c>
      <c r="F6" s="24">
        <v>0.1</v>
      </c>
      <c r="G6" s="25"/>
      <c r="H6" s="26"/>
      <c r="I6" s="26"/>
      <c r="L6" s="31">
        <f t="shared" si="11"/>
        <v>27.821287999999999</v>
      </c>
      <c r="M6" s="32">
        <f t="shared" si="1"/>
        <v>0.96799999999999997</v>
      </c>
      <c r="N6" s="33">
        <v>0.39928909952606562</v>
      </c>
      <c r="O6" s="34">
        <f t="shared" si="2"/>
        <v>5.9893364928909842E-2</v>
      </c>
      <c r="Q6" s="31">
        <f t="shared" si="12"/>
        <v>52.762330965587694</v>
      </c>
      <c r="R6" s="32">
        <f t="shared" si="3"/>
        <v>0.96799999999999997</v>
      </c>
      <c r="S6" s="33">
        <v>0.39928909952606562</v>
      </c>
      <c r="T6" s="34">
        <f t="shared" si="4"/>
        <v>5.9893364928909842E-2</v>
      </c>
      <c r="V6" s="31">
        <f t="shared" si="13"/>
        <v>80.678141176398768</v>
      </c>
      <c r="W6" s="32">
        <f t="shared" si="5"/>
        <v>0.96799999999999997</v>
      </c>
      <c r="X6" s="33">
        <v>0.39928909952606562</v>
      </c>
      <c r="Y6" s="34">
        <f t="shared" si="6"/>
        <v>1.9964454976303281E-2</v>
      </c>
      <c r="AA6" s="31">
        <f t="shared" si="14"/>
        <v>122.15181835999999</v>
      </c>
      <c r="AB6" s="32">
        <f t="shared" si="7"/>
        <v>0.96799999999999986</v>
      </c>
      <c r="AC6" s="33">
        <v>0.39928909952606562</v>
      </c>
      <c r="AD6" s="34">
        <f t="shared" si="8"/>
        <v>1.9964454976303281E-2</v>
      </c>
      <c r="AF6" s="31">
        <f t="shared" si="15"/>
        <v>127.03591600000001</v>
      </c>
      <c r="AG6" s="32">
        <f t="shared" si="9"/>
        <v>1.0067043482364417</v>
      </c>
      <c r="AH6" s="33">
        <v>0.2</v>
      </c>
      <c r="AI6" s="34">
        <f t="shared" si="10"/>
        <v>2.0000000000000004E-2</v>
      </c>
      <c r="AK6" s="13" t="s">
        <v>16</v>
      </c>
      <c r="AL6" s="11" t="str">
        <f t="shared" si="0"/>
        <v>LSV/t Team</v>
      </c>
      <c r="AM6" s="35">
        <v>288.02999999999997</v>
      </c>
      <c r="AN6" s="36">
        <v>292.95405216614267</v>
      </c>
      <c r="AO6" s="36">
        <v>294.91795885095809</v>
      </c>
      <c r="AP6" s="36">
        <v>296.48863221825468</v>
      </c>
      <c r="AQ6" s="36">
        <v>298.2</v>
      </c>
    </row>
    <row r="7" spans="1:43" ht="15.6" customHeight="1" x14ac:dyDescent="0.25">
      <c r="A7" s="13" t="s">
        <v>18</v>
      </c>
      <c r="B7" s="14" t="s">
        <v>19</v>
      </c>
      <c r="C7" s="15"/>
      <c r="D7" s="15"/>
      <c r="E7" s="15"/>
      <c r="F7" s="15"/>
      <c r="G7" s="16">
        <v>0.1</v>
      </c>
      <c r="H7" s="17"/>
      <c r="I7" s="17"/>
      <c r="L7" s="31">
        <f t="shared" si="11"/>
        <v>27.936252</v>
      </c>
      <c r="M7" s="32">
        <f t="shared" si="1"/>
        <v>0.97199999999999998</v>
      </c>
      <c r="N7" s="33">
        <v>0.47393364928910042</v>
      </c>
      <c r="O7" s="34">
        <f t="shared" si="2"/>
        <v>7.1090047393365066E-2</v>
      </c>
      <c r="Q7" s="31">
        <f t="shared" si="12"/>
        <v>52.98035712660252</v>
      </c>
      <c r="R7" s="32">
        <f t="shared" si="3"/>
        <v>0.97199999999999998</v>
      </c>
      <c r="S7" s="33">
        <v>0.47393364928910042</v>
      </c>
      <c r="T7" s="34">
        <f t="shared" si="4"/>
        <v>7.1090047393365066E-2</v>
      </c>
      <c r="V7" s="31">
        <f t="shared" si="13"/>
        <v>81.011521925061572</v>
      </c>
      <c r="W7" s="32">
        <f t="shared" si="5"/>
        <v>0.97199999999999998</v>
      </c>
      <c r="X7" s="33">
        <v>0.47393364928910042</v>
      </c>
      <c r="Y7" s="34">
        <f t="shared" si="6"/>
        <v>2.3696682464455023E-2</v>
      </c>
      <c r="AA7" s="31">
        <f t="shared" si="14"/>
        <v>122.65657793999999</v>
      </c>
      <c r="AB7" s="32">
        <f t="shared" si="7"/>
        <v>0.97199999999999986</v>
      </c>
      <c r="AC7" s="33">
        <v>0.47393364928910042</v>
      </c>
      <c r="AD7" s="34">
        <f t="shared" si="8"/>
        <v>2.3696682464455023E-2</v>
      </c>
      <c r="AF7" s="31">
        <f t="shared" si="15"/>
        <v>127.45892650000002</v>
      </c>
      <c r="AG7" s="32">
        <f t="shared" si="9"/>
        <v>1.0100565223546625</v>
      </c>
      <c r="AH7" s="33">
        <v>0.3</v>
      </c>
      <c r="AI7" s="34">
        <f t="shared" si="10"/>
        <v>0.03</v>
      </c>
      <c r="AK7" s="13" t="s">
        <v>18</v>
      </c>
      <c r="AL7" s="11" t="str">
        <f t="shared" si="0"/>
        <v>Earnings</v>
      </c>
      <c r="AM7" s="36">
        <v>0</v>
      </c>
      <c r="AN7" s="36">
        <v>0</v>
      </c>
      <c r="AO7" s="36">
        <v>0</v>
      </c>
      <c r="AP7" s="36">
        <v>37.140999999999998</v>
      </c>
      <c r="AQ7" s="36">
        <v>40.854999999999997</v>
      </c>
    </row>
    <row r="8" spans="1:43" ht="15.6" customHeight="1" x14ac:dyDescent="0.25">
      <c r="A8" s="13" t="s">
        <v>20</v>
      </c>
      <c r="B8" s="14" t="s">
        <v>70</v>
      </c>
      <c r="C8" s="15"/>
      <c r="D8" s="15"/>
      <c r="E8" s="15"/>
      <c r="F8" s="15"/>
      <c r="G8" s="16">
        <v>0.1</v>
      </c>
      <c r="H8" s="26"/>
      <c r="I8" s="26"/>
      <c r="L8" s="31">
        <f t="shared" si="11"/>
        <v>28.051216</v>
      </c>
      <c r="M8" s="32">
        <f t="shared" si="1"/>
        <v>0.97599999999999998</v>
      </c>
      <c r="N8" s="33">
        <v>0.55035545023696719</v>
      </c>
      <c r="O8" s="34">
        <f t="shared" si="2"/>
        <v>8.2553317535545082E-2</v>
      </c>
      <c r="Q8" s="31">
        <f t="shared" si="12"/>
        <v>53.198383287617347</v>
      </c>
      <c r="R8" s="32">
        <f t="shared" si="3"/>
        <v>0.97599999999999998</v>
      </c>
      <c r="S8" s="33">
        <v>0.55035545023696719</v>
      </c>
      <c r="T8" s="34">
        <f t="shared" si="4"/>
        <v>8.2553317535545082E-2</v>
      </c>
      <c r="V8" s="31">
        <f t="shared" si="13"/>
        <v>81.344902673724377</v>
      </c>
      <c r="W8" s="32">
        <f t="shared" si="5"/>
        <v>0.97599999999999998</v>
      </c>
      <c r="X8" s="33">
        <v>0.55035545023696719</v>
      </c>
      <c r="Y8" s="34">
        <f t="shared" si="6"/>
        <v>2.7517772511848362E-2</v>
      </c>
      <c r="AA8" s="31">
        <f t="shared" si="14"/>
        <v>123.16133751999999</v>
      </c>
      <c r="AB8" s="32">
        <f t="shared" si="7"/>
        <v>0.97599999999999987</v>
      </c>
      <c r="AC8" s="33">
        <v>0.55035545023696719</v>
      </c>
      <c r="AD8" s="34">
        <f t="shared" si="8"/>
        <v>2.7517772511848362E-2</v>
      </c>
      <c r="AF8" s="31">
        <f t="shared" si="15"/>
        <v>127.88193700000002</v>
      </c>
      <c r="AG8" s="32">
        <f t="shared" si="9"/>
        <v>1.0134086964728832</v>
      </c>
      <c r="AH8" s="33">
        <v>0.4</v>
      </c>
      <c r="AI8" s="34">
        <f t="shared" si="10"/>
        <v>4.0000000000000008E-2</v>
      </c>
      <c r="AK8" s="13" t="s">
        <v>20</v>
      </c>
      <c r="AL8" s="11" t="str">
        <f t="shared" si="0"/>
        <v>NSV Prem+ Total</v>
      </c>
      <c r="AM8" s="36"/>
      <c r="AN8" s="36"/>
      <c r="AO8" s="36"/>
      <c r="AP8" s="36"/>
      <c r="AQ8" s="36"/>
    </row>
    <row r="9" spans="1:43" ht="15.6" customHeight="1" x14ac:dyDescent="0.25">
      <c r="A9" s="13"/>
      <c r="B9" s="37"/>
      <c r="C9" s="38">
        <f>SUM(C3:C8)</f>
        <v>0.3</v>
      </c>
      <c r="D9" s="38">
        <f>SUM(D3:D8)</f>
        <v>0.3</v>
      </c>
      <c r="E9" s="38">
        <f>SUM(E3:E8)</f>
        <v>0.30000000000000004</v>
      </c>
      <c r="F9" s="38">
        <f>SUM(F3:F8)</f>
        <v>0.30000000000000004</v>
      </c>
      <c r="G9" s="38">
        <f>SUM(G3:G8)</f>
        <v>0.30000000000000004</v>
      </c>
      <c r="H9" s="39"/>
      <c r="I9" s="39"/>
      <c r="L9" s="31">
        <f t="shared" si="11"/>
        <v>28.166180000000001</v>
      </c>
      <c r="M9" s="32">
        <f t="shared" si="1"/>
        <v>0.98</v>
      </c>
      <c r="N9" s="33">
        <v>0.625</v>
      </c>
      <c r="O9" s="34">
        <f t="shared" si="2"/>
        <v>9.375E-2</v>
      </c>
      <c r="Q9" s="31">
        <f t="shared" si="12"/>
        <v>53.416409448632173</v>
      </c>
      <c r="R9" s="32">
        <f t="shared" si="3"/>
        <v>0.98</v>
      </c>
      <c r="S9" s="33">
        <v>0.625</v>
      </c>
      <c r="T9" s="34">
        <f t="shared" si="4"/>
        <v>9.375E-2</v>
      </c>
      <c r="V9" s="31">
        <f t="shared" si="13"/>
        <v>81.678283422387182</v>
      </c>
      <c r="W9" s="32">
        <f t="shared" si="5"/>
        <v>0.98</v>
      </c>
      <c r="X9" s="33">
        <v>0.625</v>
      </c>
      <c r="Y9" s="34">
        <f t="shared" si="6"/>
        <v>3.125E-2</v>
      </c>
      <c r="AA9" s="31">
        <f t="shared" si="14"/>
        <v>123.66609709999999</v>
      </c>
      <c r="AB9" s="32">
        <f t="shared" si="7"/>
        <v>0.97999999999999987</v>
      </c>
      <c r="AC9" s="33">
        <v>0.625</v>
      </c>
      <c r="AD9" s="34">
        <f t="shared" si="8"/>
        <v>3.125E-2</v>
      </c>
      <c r="AF9" s="31">
        <f t="shared" si="15"/>
        <v>128.30494750000003</v>
      </c>
      <c r="AG9" s="32">
        <f t="shared" si="9"/>
        <v>1.0167608705911042</v>
      </c>
      <c r="AH9" s="33">
        <v>0.5</v>
      </c>
      <c r="AI9" s="34">
        <f t="shared" si="10"/>
        <v>0.05</v>
      </c>
    </row>
    <row r="10" spans="1:43" x14ac:dyDescent="0.25">
      <c r="L10" s="31">
        <f t="shared" si="11"/>
        <v>28.281144000000001</v>
      </c>
      <c r="M10" s="32">
        <f t="shared" si="1"/>
        <v>0.9840000000000001</v>
      </c>
      <c r="N10" s="33">
        <v>0.69964454976303281</v>
      </c>
      <c r="O10" s="34">
        <f t="shared" si="2"/>
        <v>0.10494668246445492</v>
      </c>
      <c r="Q10" s="31">
        <f t="shared" si="12"/>
        <v>53.634435609646999</v>
      </c>
      <c r="R10" s="32">
        <f t="shared" si="3"/>
        <v>0.98399999999999999</v>
      </c>
      <c r="S10" s="33">
        <v>0.69964454976303281</v>
      </c>
      <c r="T10" s="34">
        <f t="shared" si="4"/>
        <v>0.10494668246445492</v>
      </c>
      <c r="V10" s="31">
        <f t="shared" si="13"/>
        <v>82.011664171049986</v>
      </c>
      <c r="W10" s="32">
        <f t="shared" si="5"/>
        <v>0.98399999999999999</v>
      </c>
      <c r="X10" s="33">
        <v>0.69964454976303281</v>
      </c>
      <c r="Y10" s="34">
        <f t="shared" si="6"/>
        <v>3.4982227488151642E-2</v>
      </c>
      <c r="AA10" s="31">
        <f t="shared" si="14"/>
        <v>124.17085667999999</v>
      </c>
      <c r="AB10" s="32">
        <f t="shared" si="7"/>
        <v>0.98399999999999987</v>
      </c>
      <c r="AC10" s="33">
        <v>0.69964454976303281</v>
      </c>
      <c r="AD10" s="34">
        <f t="shared" si="8"/>
        <v>3.4982227488151642E-2</v>
      </c>
      <c r="AF10" s="31">
        <f t="shared" si="15"/>
        <v>128.72795800000003</v>
      </c>
      <c r="AG10" s="32">
        <f t="shared" si="9"/>
        <v>1.020113044709325</v>
      </c>
      <c r="AH10" s="33">
        <v>0.6</v>
      </c>
      <c r="AI10" s="34">
        <f t="shared" si="10"/>
        <v>0.06</v>
      </c>
    </row>
    <row r="11" spans="1:43" x14ac:dyDescent="0.25">
      <c r="L11" s="31">
        <f t="shared" si="11"/>
        <v>28.396108000000002</v>
      </c>
      <c r="M11" s="32">
        <f t="shared" si="1"/>
        <v>0.9880000000000001</v>
      </c>
      <c r="N11" s="33">
        <v>0.77428909952606562</v>
      </c>
      <c r="O11" s="34">
        <f t="shared" si="2"/>
        <v>0.11614336492890984</v>
      </c>
      <c r="Q11" s="31">
        <f t="shared" si="12"/>
        <v>53.852461770661826</v>
      </c>
      <c r="R11" s="32">
        <f t="shared" si="3"/>
        <v>0.9880000000000001</v>
      </c>
      <c r="S11" s="33">
        <v>0.77428909952606562</v>
      </c>
      <c r="T11" s="34">
        <f t="shared" si="4"/>
        <v>0.11614336492890984</v>
      </c>
      <c r="V11" s="31">
        <f t="shared" si="13"/>
        <v>82.345044919712791</v>
      </c>
      <c r="W11" s="32">
        <f t="shared" si="5"/>
        <v>0.98799999999999999</v>
      </c>
      <c r="X11" s="33">
        <v>0.77428909952606562</v>
      </c>
      <c r="Y11" s="34">
        <f t="shared" si="6"/>
        <v>3.8714454976303284E-2</v>
      </c>
      <c r="AA11" s="31">
        <f t="shared" si="14"/>
        <v>124.67561625999998</v>
      </c>
      <c r="AB11" s="32">
        <f t="shared" si="7"/>
        <v>0.98799999999999977</v>
      </c>
      <c r="AC11" s="33">
        <v>0.77428909952606562</v>
      </c>
      <c r="AD11" s="34">
        <f t="shared" si="8"/>
        <v>3.8714454976303284E-2</v>
      </c>
      <c r="AF11" s="31">
        <f t="shared" si="15"/>
        <v>129.15096850000003</v>
      </c>
      <c r="AG11" s="32">
        <f t="shared" si="9"/>
        <v>1.0234652188275457</v>
      </c>
      <c r="AH11" s="33">
        <v>0.7</v>
      </c>
      <c r="AI11" s="34">
        <f t="shared" si="10"/>
        <v>6.9999999999999993E-2</v>
      </c>
    </row>
    <row r="12" spans="1:43" x14ac:dyDescent="0.25">
      <c r="L12" s="31">
        <f t="shared" si="11"/>
        <v>28.511072000000002</v>
      </c>
      <c r="M12" s="32">
        <f t="shared" si="1"/>
        <v>0.9920000000000001</v>
      </c>
      <c r="N12" s="33">
        <v>0.85071090047393438</v>
      </c>
      <c r="O12" s="34">
        <f t="shared" si="2"/>
        <v>0.12760663507109016</v>
      </c>
      <c r="Q12" s="31">
        <f t="shared" si="12"/>
        <v>54.070487931676652</v>
      </c>
      <c r="R12" s="32">
        <f t="shared" si="3"/>
        <v>0.9920000000000001</v>
      </c>
      <c r="S12" s="33">
        <v>0.85071090047393438</v>
      </c>
      <c r="T12" s="34">
        <f t="shared" si="4"/>
        <v>0.12760663507109016</v>
      </c>
      <c r="V12" s="31">
        <f t="shared" si="13"/>
        <v>82.678425668375596</v>
      </c>
      <c r="W12" s="32">
        <f t="shared" si="5"/>
        <v>0.99199999999999999</v>
      </c>
      <c r="X12" s="33">
        <v>0.85071090047393438</v>
      </c>
      <c r="Y12" s="34">
        <f t="shared" si="6"/>
        <v>4.2535545023696719E-2</v>
      </c>
      <c r="AA12" s="31">
        <f t="shared" si="14"/>
        <v>125.18037583999998</v>
      </c>
      <c r="AB12" s="32">
        <f t="shared" si="7"/>
        <v>0.99199999999999977</v>
      </c>
      <c r="AC12" s="33">
        <v>0.85071090047393438</v>
      </c>
      <c r="AD12" s="34">
        <f t="shared" si="8"/>
        <v>4.2535545023696719E-2</v>
      </c>
      <c r="AF12" s="31">
        <f t="shared" si="15"/>
        <v>129.57397900000004</v>
      </c>
      <c r="AG12" s="32">
        <f t="shared" si="9"/>
        <v>1.0268173929457667</v>
      </c>
      <c r="AH12" s="33">
        <v>0.8</v>
      </c>
      <c r="AI12" s="34">
        <f t="shared" si="10"/>
        <v>8.0000000000000016E-2</v>
      </c>
    </row>
    <row r="13" spans="1:43" x14ac:dyDescent="0.25">
      <c r="L13" s="31">
        <f t="shared" si="11"/>
        <v>28.626036000000003</v>
      </c>
      <c r="M13" s="32">
        <f t="shared" si="1"/>
        <v>0.99600000000000011</v>
      </c>
      <c r="N13" s="33">
        <v>0.92535545023696719</v>
      </c>
      <c r="O13" s="34">
        <f t="shared" si="2"/>
        <v>0.13880331753554506</v>
      </c>
      <c r="Q13" s="31">
        <f t="shared" si="12"/>
        <v>54.288514092691479</v>
      </c>
      <c r="R13" s="32">
        <f t="shared" si="3"/>
        <v>0.99600000000000011</v>
      </c>
      <c r="S13" s="33">
        <v>0.92535545023696719</v>
      </c>
      <c r="T13" s="34">
        <f t="shared" si="4"/>
        <v>0.13880331753554506</v>
      </c>
      <c r="V13" s="31">
        <f t="shared" si="13"/>
        <v>83.0118064170384</v>
      </c>
      <c r="W13" s="32">
        <f t="shared" si="5"/>
        <v>0.996</v>
      </c>
      <c r="X13" s="33">
        <v>0.92535545023696719</v>
      </c>
      <c r="Y13" s="34">
        <f t="shared" si="6"/>
        <v>4.6267772511848361E-2</v>
      </c>
      <c r="AA13" s="31">
        <f t="shared" si="14"/>
        <v>125.68513541999998</v>
      </c>
      <c r="AB13" s="32">
        <f t="shared" si="7"/>
        <v>0.99599999999999977</v>
      </c>
      <c r="AC13" s="33">
        <v>0.92535545023696719</v>
      </c>
      <c r="AD13" s="34">
        <f t="shared" si="8"/>
        <v>4.6267772511848361E-2</v>
      </c>
      <c r="AF13" s="31">
        <f t="shared" si="15"/>
        <v>129.99698950000004</v>
      </c>
      <c r="AG13" s="32">
        <f t="shared" si="9"/>
        <v>1.0301695670639874</v>
      </c>
      <c r="AH13" s="33">
        <v>0.9</v>
      </c>
      <c r="AI13" s="34">
        <f t="shared" si="10"/>
        <v>9.0000000000000011E-2</v>
      </c>
    </row>
    <row r="14" spans="1:43" x14ac:dyDescent="0.25">
      <c r="L14" s="27">
        <f>$AM$3</f>
        <v>28.741</v>
      </c>
      <c r="M14" s="40">
        <f>L14/L14</f>
        <v>1</v>
      </c>
      <c r="N14" s="41">
        <v>1</v>
      </c>
      <c r="O14" s="41">
        <f>$C$3</f>
        <v>0.15</v>
      </c>
      <c r="Q14" s="27">
        <f>$AN$3</f>
        <v>54.506540253706298</v>
      </c>
      <c r="R14" s="40">
        <f>Q14/Q14</f>
        <v>1</v>
      </c>
      <c r="S14" s="41">
        <v>1</v>
      </c>
      <c r="T14" s="41">
        <f>$D$3</f>
        <v>0.15</v>
      </c>
      <c r="V14" s="27">
        <f>$AO$3</f>
        <v>83.345187165701205</v>
      </c>
      <c r="W14" s="40">
        <f>V14/V14</f>
        <v>1</v>
      </c>
      <c r="X14" s="41">
        <v>1</v>
      </c>
      <c r="Y14" s="41">
        <f>$E$3</f>
        <v>0.05</v>
      </c>
      <c r="AA14" s="27">
        <f>$AP$3</f>
        <v>126.18989500000001</v>
      </c>
      <c r="AB14" s="40">
        <f>AA14/AA14</f>
        <v>1</v>
      </c>
      <c r="AC14" s="41">
        <v>1</v>
      </c>
      <c r="AD14" s="41">
        <f>$F$3</f>
        <v>0.05</v>
      </c>
      <c r="AF14" s="27">
        <f>$AQ$3</f>
        <v>130.41999999999999</v>
      </c>
      <c r="AG14" s="42">
        <f t="shared" si="9"/>
        <v>1.0335217411822077</v>
      </c>
      <c r="AH14" s="41">
        <v>1</v>
      </c>
      <c r="AI14" s="41">
        <f>$G$3</f>
        <v>0.1</v>
      </c>
    </row>
    <row r="15" spans="1:43" ht="15" customHeight="1" thickBot="1" x14ac:dyDescent="0.3"/>
    <row r="16" spans="1:43" ht="18.600000000000001" customHeight="1" thickBot="1" x14ac:dyDescent="0.3">
      <c r="A16" s="43"/>
      <c r="B16" s="147" t="s">
        <v>21</v>
      </c>
      <c r="C16" s="44" t="s">
        <v>0</v>
      </c>
      <c r="D16" s="44" t="s">
        <v>1</v>
      </c>
      <c r="E16" s="44" t="s">
        <v>2</v>
      </c>
      <c r="F16" s="45" t="s">
        <v>3</v>
      </c>
      <c r="G16" s="46" t="s">
        <v>22</v>
      </c>
      <c r="H16" s="47" t="s">
        <v>23</v>
      </c>
      <c r="I16" s="48" t="s">
        <v>4</v>
      </c>
      <c r="J16" s="48" t="s">
        <v>24</v>
      </c>
      <c r="L16" s="7" t="str">
        <f>$A$4</f>
        <v>KPI 2</v>
      </c>
      <c r="M16" s="8" t="str">
        <f>VLOOKUP(L16,$A$3:$B$8,2,0)</f>
        <v>NSV Team</v>
      </c>
      <c r="N16" s="8"/>
      <c r="O16" s="9" t="str">
        <f>$C$2</f>
        <v>Q1</v>
      </c>
      <c r="Q16" s="7" t="str">
        <f>$A$4</f>
        <v>KPI 2</v>
      </c>
      <c r="R16" s="8" t="str">
        <f>VLOOKUP(Q16,$A$3:$B$8,2,0)</f>
        <v>NSV Team</v>
      </c>
      <c r="S16" s="8"/>
      <c r="T16" s="9" t="str">
        <f>$D$2</f>
        <v>Q2</v>
      </c>
      <c r="V16" s="7" t="str">
        <f>$A$4</f>
        <v>KPI 2</v>
      </c>
      <c r="W16" s="8" t="str">
        <f>VLOOKUP(V16,$A$3:$B$8,2,0)</f>
        <v>NSV Team</v>
      </c>
      <c r="X16" s="8"/>
      <c r="Y16" s="9" t="str">
        <f>$E$2</f>
        <v>Q3</v>
      </c>
      <c r="AA16" s="7" t="str">
        <f>$A$4</f>
        <v>KPI 2</v>
      </c>
      <c r="AB16" s="8" t="str">
        <f>VLOOKUP(AA16,$A$3:$B$8,2,0)</f>
        <v>NSV Team</v>
      </c>
      <c r="AC16" s="8"/>
      <c r="AD16" s="9" t="str">
        <f>$F$2</f>
        <v>Q4</v>
      </c>
      <c r="AF16" s="7" t="str">
        <f>$A$4</f>
        <v>KPI 2</v>
      </c>
      <c r="AG16" s="8" t="str">
        <f>VLOOKUP(AF16,$A$3:$B$8,2,0)</f>
        <v>NSV Team</v>
      </c>
      <c r="AH16" s="8"/>
      <c r="AI16" s="10" t="str">
        <f>$G$2</f>
        <v>FY (200%)</v>
      </c>
    </row>
    <row r="17" spans="1:35" ht="15.6" customHeight="1" x14ac:dyDescent="0.25">
      <c r="A17" s="49" t="s">
        <v>6</v>
      </c>
      <c r="B17" s="50" t="str">
        <f>$B$3</f>
        <v>NSV Total</v>
      </c>
      <c r="C17" s="51">
        <v>0.13900000000000001</v>
      </c>
      <c r="D17" s="51">
        <v>0.15</v>
      </c>
      <c r="E17" s="51">
        <v>0.05</v>
      </c>
      <c r="F17" s="52">
        <v>0.05</v>
      </c>
      <c r="G17" s="53">
        <f t="shared" ref="G17:G22" si="16">(C17*3+D17*3+E17*3+F17*4)/13</f>
        <v>9.36153846153846E-2</v>
      </c>
      <c r="H17" s="54"/>
      <c r="I17" s="55">
        <v>0.03</v>
      </c>
      <c r="J17" s="55">
        <f t="shared" ref="J17:J23" si="17">G17+H17+I17</f>
        <v>0.1236153846153846</v>
      </c>
      <c r="L17" s="18" t="s">
        <v>8</v>
      </c>
      <c r="M17" s="19" t="s">
        <v>9</v>
      </c>
      <c r="N17" s="20" t="s">
        <v>10</v>
      </c>
      <c r="O17" s="21" t="s">
        <v>11</v>
      </c>
      <c r="Q17" s="18" t="s">
        <v>8</v>
      </c>
      <c r="R17" s="19" t="s">
        <v>9</v>
      </c>
      <c r="S17" s="20" t="s">
        <v>10</v>
      </c>
      <c r="T17" s="21" t="s">
        <v>11</v>
      </c>
      <c r="V17" s="18" t="s">
        <v>8</v>
      </c>
      <c r="W17" s="19" t="s">
        <v>9</v>
      </c>
      <c r="X17" s="20" t="s">
        <v>10</v>
      </c>
      <c r="Y17" s="21" t="s">
        <v>11</v>
      </c>
      <c r="AA17" s="18" t="s">
        <v>8</v>
      </c>
      <c r="AB17" s="19" t="s">
        <v>9</v>
      </c>
      <c r="AC17" s="20" t="s">
        <v>10</v>
      </c>
      <c r="AD17" s="21" t="s">
        <v>11</v>
      </c>
      <c r="AF17" s="18" t="s">
        <v>8</v>
      </c>
      <c r="AG17" s="19" t="s">
        <v>9</v>
      </c>
      <c r="AH17" s="20" t="s">
        <v>10</v>
      </c>
      <c r="AI17" s="21" t="s">
        <v>11</v>
      </c>
    </row>
    <row r="18" spans="1:35" ht="15.6" customHeight="1" x14ac:dyDescent="0.25">
      <c r="A18" s="56" t="s">
        <v>12</v>
      </c>
      <c r="B18" s="23" t="str">
        <f>$B$4</f>
        <v>NSV Team</v>
      </c>
      <c r="C18" s="24">
        <v>0</v>
      </c>
      <c r="D18" s="24">
        <v>0</v>
      </c>
      <c r="E18" s="24">
        <v>0.1</v>
      </c>
      <c r="F18" s="57">
        <v>0.1</v>
      </c>
      <c r="G18" s="58">
        <f t="shared" si="16"/>
        <v>5.3846153846153849E-2</v>
      </c>
      <c r="H18" s="58"/>
      <c r="I18" s="59">
        <v>0</v>
      </c>
      <c r="J18" s="59">
        <f t="shared" si="17"/>
        <v>5.3846153846153849E-2</v>
      </c>
      <c r="L18" s="27">
        <f>L28*0.96</f>
        <v>27.591359999999998</v>
      </c>
      <c r="M18" s="28">
        <f t="shared" ref="M18:M28" si="18">L18/L$28</f>
        <v>0.96</v>
      </c>
      <c r="N18" s="29">
        <v>0.25</v>
      </c>
      <c r="O18" s="30">
        <f t="shared" ref="O18:O27" si="19">O$28*N18</f>
        <v>0</v>
      </c>
      <c r="Q18" s="27">
        <f>Q28*0.96</f>
        <v>52.326278643558041</v>
      </c>
      <c r="R18" s="28">
        <v>0.96</v>
      </c>
      <c r="S18" s="29">
        <v>0.25</v>
      </c>
      <c r="T18" s="30">
        <f t="shared" ref="T18:T27" si="20">T$28*S18</f>
        <v>0</v>
      </c>
      <c r="V18" s="27">
        <f>V28*0.96</f>
        <v>80.011379679073158</v>
      </c>
      <c r="W18" s="28">
        <v>0.96</v>
      </c>
      <c r="X18" s="29">
        <v>0.25</v>
      </c>
      <c r="Y18" s="30">
        <f t="shared" ref="Y18:Y27" si="21">Y$28*X18</f>
        <v>2.5000000000000001E-2</v>
      </c>
      <c r="AA18" s="27">
        <f>AA28*0.96</f>
        <v>121.1422992</v>
      </c>
      <c r="AB18" s="28">
        <v>0.96</v>
      </c>
      <c r="AC18" s="29">
        <v>0.25</v>
      </c>
      <c r="AD18" s="30">
        <f t="shared" ref="AD18:AD27" si="22">AD$28*AC18</f>
        <v>2.5000000000000001E-2</v>
      </c>
      <c r="AF18" s="27">
        <f>AA28</f>
        <v>126.18989500000001</v>
      </c>
      <c r="AG18" s="28">
        <f t="shared" ref="AG18:AG28" si="23">AF18/$AF$18</f>
        <v>1</v>
      </c>
      <c r="AH18" s="29">
        <v>0</v>
      </c>
      <c r="AI18" s="30">
        <f t="shared" ref="AI18:AI27" si="24">AI$28*AH18</f>
        <v>0</v>
      </c>
    </row>
    <row r="19" spans="1:35" ht="15.6" customHeight="1" x14ac:dyDescent="0.25">
      <c r="A19" s="56" t="s">
        <v>14</v>
      </c>
      <c r="B19" s="14" t="str">
        <f>$B$5</f>
        <v>LSV/t Total</v>
      </c>
      <c r="C19" s="15">
        <v>0.12</v>
      </c>
      <c r="D19" s="15">
        <v>0.12</v>
      </c>
      <c r="E19" s="15">
        <v>4.4999999999999998E-2</v>
      </c>
      <c r="F19" s="60">
        <v>4.4999999999999998E-2</v>
      </c>
      <c r="G19" s="61">
        <f t="shared" si="16"/>
        <v>7.9615384615384616E-2</v>
      </c>
      <c r="H19" s="61"/>
      <c r="I19" s="62">
        <v>0</v>
      </c>
      <c r="J19" s="62">
        <f t="shared" si="17"/>
        <v>7.9615384615384616E-2</v>
      </c>
      <c r="L19" s="31">
        <f t="shared" ref="L19:L27" si="25">L18+(L$28-L$18)/10</f>
        <v>27.706323999999999</v>
      </c>
      <c r="M19" s="32">
        <f t="shared" si="18"/>
        <v>0.96399999999999997</v>
      </c>
      <c r="N19" s="33">
        <v>0.32464454976303281</v>
      </c>
      <c r="O19" s="34">
        <f t="shared" si="19"/>
        <v>0</v>
      </c>
      <c r="Q19" s="31">
        <f t="shared" ref="Q19:Q27" si="26">Q18+(Q$28-Q$18)/10</f>
        <v>52.544304804572867</v>
      </c>
      <c r="R19" s="32">
        <v>0.96399999999999997</v>
      </c>
      <c r="S19" s="33">
        <v>0.32464454976303281</v>
      </c>
      <c r="T19" s="34">
        <f t="shared" si="20"/>
        <v>0</v>
      </c>
      <c r="V19" s="31">
        <f t="shared" ref="V19:V27" si="27">V18+(V$28-V$18)/10</f>
        <v>80.344760427735963</v>
      </c>
      <c r="W19" s="32">
        <v>0.96399999999999997</v>
      </c>
      <c r="X19" s="33">
        <v>0.32464454976303281</v>
      </c>
      <c r="Y19" s="34">
        <f t="shared" si="21"/>
        <v>3.2464454976303285E-2</v>
      </c>
      <c r="AA19" s="31">
        <f t="shared" ref="AA19:AA27" si="28">AA18+(AA$28-AA$18)/10</f>
        <v>121.64705877999999</v>
      </c>
      <c r="AB19" s="32">
        <v>0.96399999999999997</v>
      </c>
      <c r="AC19" s="33">
        <v>0.32464454976303281</v>
      </c>
      <c r="AD19" s="34">
        <f t="shared" si="22"/>
        <v>3.2464454976303285E-2</v>
      </c>
      <c r="AF19" s="31">
        <f t="shared" ref="AF19:AF27" si="29">AF18+(AF$28-AF$18)/10</f>
        <v>126.61290550000001</v>
      </c>
      <c r="AG19" s="32">
        <f t="shared" si="23"/>
        <v>1.0033521741182208</v>
      </c>
      <c r="AH19" s="33">
        <v>0.1</v>
      </c>
      <c r="AI19" s="34">
        <f t="shared" si="24"/>
        <v>0</v>
      </c>
    </row>
    <row r="20" spans="1:35" ht="15.6" customHeight="1" x14ac:dyDescent="0.25">
      <c r="A20" s="56" t="s">
        <v>16</v>
      </c>
      <c r="B20" s="23" t="str">
        <f>$B$6</f>
        <v>LSV/t Team</v>
      </c>
      <c r="C20" s="24">
        <v>0</v>
      </c>
      <c r="D20" s="24">
        <v>0</v>
      </c>
      <c r="E20" s="24">
        <v>0.1</v>
      </c>
      <c r="F20" s="57">
        <v>0.09</v>
      </c>
      <c r="G20" s="58">
        <f t="shared" si="16"/>
        <v>5.0769230769230775E-2</v>
      </c>
      <c r="H20" s="58"/>
      <c r="I20" s="59">
        <v>0</v>
      </c>
      <c r="J20" s="59">
        <f t="shared" si="17"/>
        <v>5.0769230769230775E-2</v>
      </c>
      <c r="L20" s="31">
        <f t="shared" si="25"/>
        <v>27.821287999999999</v>
      </c>
      <c r="M20" s="32">
        <f t="shared" si="18"/>
        <v>0.96799999999999997</v>
      </c>
      <c r="N20" s="33">
        <v>0.39928909952606562</v>
      </c>
      <c r="O20" s="34">
        <f t="shared" si="19"/>
        <v>0</v>
      </c>
      <c r="Q20" s="31">
        <f t="shared" si="26"/>
        <v>52.762330965587694</v>
      </c>
      <c r="R20" s="32">
        <v>0.96799999999999997</v>
      </c>
      <c r="S20" s="33">
        <v>0.39928909952606562</v>
      </c>
      <c r="T20" s="34">
        <f t="shared" si="20"/>
        <v>0</v>
      </c>
      <c r="V20" s="31">
        <f t="shared" si="27"/>
        <v>80.678141176398768</v>
      </c>
      <c r="W20" s="32">
        <v>0.96799999999999997</v>
      </c>
      <c r="X20" s="33">
        <v>0.39928909952606562</v>
      </c>
      <c r="Y20" s="34">
        <f t="shared" si="21"/>
        <v>3.9928909952606562E-2</v>
      </c>
      <c r="AA20" s="31">
        <f t="shared" si="28"/>
        <v>122.15181835999999</v>
      </c>
      <c r="AB20" s="32">
        <v>0.96799999999999997</v>
      </c>
      <c r="AC20" s="33">
        <v>0.39928909952606562</v>
      </c>
      <c r="AD20" s="34">
        <f t="shared" si="22"/>
        <v>3.9928909952606562E-2</v>
      </c>
      <c r="AF20" s="31">
        <f t="shared" si="29"/>
        <v>127.03591600000001</v>
      </c>
      <c r="AG20" s="32">
        <f t="shared" si="23"/>
        <v>1.0067043482364417</v>
      </c>
      <c r="AH20" s="33">
        <v>0.2</v>
      </c>
      <c r="AI20" s="34">
        <f t="shared" si="24"/>
        <v>0</v>
      </c>
    </row>
    <row r="21" spans="1:35" ht="15.6" customHeight="1" x14ac:dyDescent="0.25">
      <c r="A21" s="56" t="s">
        <v>18</v>
      </c>
      <c r="B21" s="14" t="str">
        <f>$B$7</f>
        <v>Earnings</v>
      </c>
      <c r="C21" s="15">
        <v>0</v>
      </c>
      <c r="D21" s="15">
        <v>0</v>
      </c>
      <c r="E21" s="15">
        <v>0</v>
      </c>
      <c r="F21" s="60">
        <v>0</v>
      </c>
      <c r="G21" s="61">
        <f t="shared" si="16"/>
        <v>0</v>
      </c>
      <c r="H21" s="61"/>
      <c r="I21" s="62">
        <v>7.0000000000000007E-2</v>
      </c>
      <c r="J21" s="62">
        <f t="shared" si="17"/>
        <v>7.0000000000000007E-2</v>
      </c>
      <c r="L21" s="31">
        <f t="shared" si="25"/>
        <v>27.936252</v>
      </c>
      <c r="M21" s="32">
        <f t="shared" si="18"/>
        <v>0.97199999999999998</v>
      </c>
      <c r="N21" s="33">
        <v>0.47393364928910042</v>
      </c>
      <c r="O21" s="34">
        <f t="shared" si="19"/>
        <v>0</v>
      </c>
      <c r="Q21" s="31">
        <f t="shared" si="26"/>
        <v>52.98035712660252</v>
      </c>
      <c r="R21" s="32">
        <v>0.97199999999999998</v>
      </c>
      <c r="S21" s="33">
        <v>0.47393364928910042</v>
      </c>
      <c r="T21" s="34">
        <f t="shared" si="20"/>
        <v>0</v>
      </c>
      <c r="V21" s="31">
        <f t="shared" si="27"/>
        <v>81.011521925061572</v>
      </c>
      <c r="W21" s="32">
        <v>0.97199999999999998</v>
      </c>
      <c r="X21" s="33">
        <v>0.47393364928910042</v>
      </c>
      <c r="Y21" s="34">
        <f t="shared" si="21"/>
        <v>4.7393364928910046E-2</v>
      </c>
      <c r="AA21" s="31">
        <f t="shared" si="28"/>
        <v>122.65657793999999</v>
      </c>
      <c r="AB21" s="32">
        <v>0.97199999999999998</v>
      </c>
      <c r="AC21" s="33">
        <v>0.47393364928910042</v>
      </c>
      <c r="AD21" s="34">
        <f t="shared" si="22"/>
        <v>4.7393364928910046E-2</v>
      </c>
      <c r="AF21" s="31">
        <f t="shared" si="29"/>
        <v>127.45892650000002</v>
      </c>
      <c r="AG21" s="32">
        <f t="shared" si="23"/>
        <v>1.0100565223546625</v>
      </c>
      <c r="AH21" s="33">
        <v>0.3</v>
      </c>
      <c r="AI21" s="34">
        <f t="shared" si="24"/>
        <v>0</v>
      </c>
    </row>
    <row r="22" spans="1:35" ht="16.149999999999999" customHeight="1" thickBot="1" x14ac:dyDescent="0.3">
      <c r="A22" s="63" t="s">
        <v>20</v>
      </c>
      <c r="B22" s="155" t="str">
        <f>$B$8</f>
        <v>NSV Prem+ Total</v>
      </c>
      <c r="C22" s="156">
        <v>0</v>
      </c>
      <c r="D22" s="156">
        <v>0</v>
      </c>
      <c r="E22" s="156">
        <v>0</v>
      </c>
      <c r="F22" s="157">
        <v>0</v>
      </c>
      <c r="G22" s="158">
        <f t="shared" si="16"/>
        <v>0</v>
      </c>
      <c r="H22" s="159"/>
      <c r="I22" s="62">
        <v>0</v>
      </c>
      <c r="J22" s="62">
        <f t="shared" si="17"/>
        <v>0</v>
      </c>
      <c r="L22" s="31">
        <f t="shared" si="25"/>
        <v>28.051216</v>
      </c>
      <c r="M22" s="32">
        <f t="shared" si="18"/>
        <v>0.97599999999999998</v>
      </c>
      <c r="N22" s="33">
        <v>0.55035545023696719</v>
      </c>
      <c r="O22" s="34">
        <f t="shared" si="19"/>
        <v>0</v>
      </c>
      <c r="Q22" s="31">
        <f t="shared" si="26"/>
        <v>53.198383287617347</v>
      </c>
      <c r="R22" s="32">
        <v>0.97599999999999998</v>
      </c>
      <c r="S22" s="33">
        <v>0.55035545023696719</v>
      </c>
      <c r="T22" s="34">
        <f t="shared" si="20"/>
        <v>0</v>
      </c>
      <c r="V22" s="31">
        <f t="shared" si="27"/>
        <v>81.344902673724377</v>
      </c>
      <c r="W22" s="32">
        <v>0.97599999999999998</v>
      </c>
      <c r="X22" s="33">
        <v>0.55035545023696719</v>
      </c>
      <c r="Y22" s="34">
        <f t="shared" si="21"/>
        <v>5.5035545023696723E-2</v>
      </c>
      <c r="AA22" s="31">
        <f t="shared" si="28"/>
        <v>123.16133751999999</v>
      </c>
      <c r="AB22" s="32">
        <v>0.97599999999999998</v>
      </c>
      <c r="AC22" s="33">
        <v>0.55035545023696719</v>
      </c>
      <c r="AD22" s="34">
        <f t="shared" si="22"/>
        <v>5.5035545023696723E-2</v>
      </c>
      <c r="AF22" s="31">
        <f t="shared" si="29"/>
        <v>127.88193700000002</v>
      </c>
      <c r="AG22" s="32">
        <f t="shared" si="23"/>
        <v>1.0134086964728832</v>
      </c>
      <c r="AH22" s="33">
        <v>0.4</v>
      </c>
      <c r="AI22" s="34">
        <f t="shared" si="24"/>
        <v>0</v>
      </c>
    </row>
    <row r="23" spans="1:35" ht="16.149999999999999" customHeight="1" thickBot="1" x14ac:dyDescent="0.3">
      <c r="A23" s="69"/>
      <c r="B23" s="70"/>
      <c r="C23" s="71">
        <f t="shared" ref="C23:I23" si="30">SUM(C17:C22)</f>
        <v>0.25900000000000001</v>
      </c>
      <c r="D23" s="71">
        <f t="shared" si="30"/>
        <v>0.27</v>
      </c>
      <c r="E23" s="71">
        <f t="shared" si="30"/>
        <v>0.29500000000000004</v>
      </c>
      <c r="F23" s="72">
        <f t="shared" si="30"/>
        <v>0.28500000000000003</v>
      </c>
      <c r="G23" s="73">
        <f t="shared" si="30"/>
        <v>0.27784615384615385</v>
      </c>
      <c r="H23" s="73">
        <f t="shared" si="30"/>
        <v>0</v>
      </c>
      <c r="I23" s="74">
        <f t="shared" si="30"/>
        <v>0.1</v>
      </c>
      <c r="J23" s="74">
        <f t="shared" si="17"/>
        <v>0.37784615384615383</v>
      </c>
      <c r="L23" s="31">
        <f t="shared" si="25"/>
        <v>28.166180000000001</v>
      </c>
      <c r="M23" s="32">
        <f t="shared" si="18"/>
        <v>0.98</v>
      </c>
      <c r="N23" s="33">
        <v>0.625</v>
      </c>
      <c r="O23" s="34">
        <f t="shared" si="19"/>
        <v>0</v>
      </c>
      <c r="Q23" s="31">
        <f t="shared" si="26"/>
        <v>53.416409448632173</v>
      </c>
      <c r="R23" s="32">
        <v>0.98</v>
      </c>
      <c r="S23" s="33">
        <v>0.625</v>
      </c>
      <c r="T23" s="34">
        <f t="shared" si="20"/>
        <v>0</v>
      </c>
      <c r="V23" s="31">
        <f t="shared" si="27"/>
        <v>81.678283422387182</v>
      </c>
      <c r="W23" s="32">
        <v>0.98</v>
      </c>
      <c r="X23" s="33">
        <v>0.625</v>
      </c>
      <c r="Y23" s="34">
        <f t="shared" si="21"/>
        <v>6.25E-2</v>
      </c>
      <c r="AA23" s="31">
        <f t="shared" si="28"/>
        <v>123.66609709999999</v>
      </c>
      <c r="AB23" s="32">
        <v>0.98</v>
      </c>
      <c r="AC23" s="33">
        <v>0.625</v>
      </c>
      <c r="AD23" s="34">
        <f t="shared" si="22"/>
        <v>6.25E-2</v>
      </c>
      <c r="AF23" s="31">
        <f t="shared" si="29"/>
        <v>128.30494750000003</v>
      </c>
      <c r="AG23" s="32">
        <f t="shared" si="23"/>
        <v>1.0167608705911042</v>
      </c>
      <c r="AH23" s="33">
        <v>0.5</v>
      </c>
      <c r="AI23" s="34">
        <f t="shared" si="24"/>
        <v>0</v>
      </c>
    </row>
    <row r="24" spans="1:35" ht="15" customHeight="1" thickBot="1" x14ac:dyDescent="0.3">
      <c r="L24" s="31">
        <f t="shared" si="25"/>
        <v>28.281144000000001</v>
      </c>
      <c r="M24" s="32">
        <f t="shared" si="18"/>
        <v>0.9840000000000001</v>
      </c>
      <c r="N24" s="33">
        <v>0.69964454976303281</v>
      </c>
      <c r="O24" s="34">
        <f t="shared" si="19"/>
        <v>0</v>
      </c>
      <c r="Q24" s="31">
        <f t="shared" si="26"/>
        <v>53.634435609646999</v>
      </c>
      <c r="R24" s="32">
        <v>0.9840000000000001</v>
      </c>
      <c r="S24" s="33">
        <v>0.69964454976303281</v>
      </c>
      <c r="T24" s="34">
        <f t="shared" si="20"/>
        <v>0</v>
      </c>
      <c r="V24" s="31">
        <f t="shared" si="27"/>
        <v>82.011664171049986</v>
      </c>
      <c r="W24" s="32">
        <v>0.9840000000000001</v>
      </c>
      <c r="X24" s="33">
        <v>0.69964454976303281</v>
      </c>
      <c r="Y24" s="34">
        <f t="shared" si="21"/>
        <v>6.9964454976303284E-2</v>
      </c>
      <c r="AA24" s="31">
        <f t="shared" si="28"/>
        <v>124.17085667999999</v>
      </c>
      <c r="AB24" s="32">
        <v>0.9840000000000001</v>
      </c>
      <c r="AC24" s="33">
        <v>0.69964454976303281</v>
      </c>
      <c r="AD24" s="34">
        <f t="shared" si="22"/>
        <v>6.9964454976303284E-2</v>
      </c>
      <c r="AF24" s="31">
        <f t="shared" si="29"/>
        <v>128.72795800000003</v>
      </c>
      <c r="AG24" s="32">
        <f t="shared" si="23"/>
        <v>1.020113044709325</v>
      </c>
      <c r="AH24" s="33">
        <v>0.6</v>
      </c>
      <c r="AI24" s="34">
        <f t="shared" si="24"/>
        <v>0</v>
      </c>
    </row>
    <row r="25" spans="1:35" ht="18.600000000000001" customHeight="1" thickBot="1" x14ac:dyDescent="0.3">
      <c r="A25" s="43"/>
      <c r="B25" s="147"/>
      <c r="C25" s="44"/>
      <c r="D25" s="44"/>
      <c r="E25" s="44"/>
      <c r="F25" s="45"/>
      <c r="G25" s="46"/>
      <c r="H25" s="47"/>
      <c r="I25" s="48"/>
      <c r="J25" s="48"/>
      <c r="L25" s="31">
        <f t="shared" si="25"/>
        <v>28.396108000000002</v>
      </c>
      <c r="M25" s="32">
        <f t="shared" si="18"/>
        <v>0.9880000000000001</v>
      </c>
      <c r="N25" s="33">
        <v>0.77428909952606562</v>
      </c>
      <c r="O25" s="34">
        <f t="shared" si="19"/>
        <v>0</v>
      </c>
      <c r="Q25" s="31">
        <f t="shared" si="26"/>
        <v>53.852461770661826</v>
      </c>
      <c r="R25" s="32">
        <v>0.9880000000000001</v>
      </c>
      <c r="S25" s="33">
        <v>0.77428909952606562</v>
      </c>
      <c r="T25" s="34">
        <f t="shared" si="20"/>
        <v>0</v>
      </c>
      <c r="V25" s="31">
        <f t="shared" si="27"/>
        <v>82.345044919712791</v>
      </c>
      <c r="W25" s="32">
        <v>0.9880000000000001</v>
      </c>
      <c r="X25" s="33">
        <v>0.77428909952606562</v>
      </c>
      <c r="Y25" s="34">
        <f t="shared" si="21"/>
        <v>7.7428909952606567E-2</v>
      </c>
      <c r="AA25" s="31">
        <f t="shared" si="28"/>
        <v>124.67561625999998</v>
      </c>
      <c r="AB25" s="32">
        <v>0.9880000000000001</v>
      </c>
      <c r="AC25" s="33">
        <v>0.77428909952606562</v>
      </c>
      <c r="AD25" s="34">
        <f t="shared" si="22"/>
        <v>7.7428909952606567E-2</v>
      </c>
      <c r="AF25" s="31">
        <f t="shared" si="29"/>
        <v>129.15096850000003</v>
      </c>
      <c r="AG25" s="32">
        <f t="shared" si="23"/>
        <v>1.0234652188275457</v>
      </c>
      <c r="AH25" s="33">
        <v>0.7</v>
      </c>
      <c r="AI25" s="34">
        <f t="shared" si="24"/>
        <v>0</v>
      </c>
    </row>
    <row r="26" spans="1:35" ht="15.6" customHeight="1" x14ac:dyDescent="0.25">
      <c r="A26" s="49"/>
      <c r="B26" s="50"/>
      <c r="C26" s="51"/>
      <c r="D26" s="51"/>
      <c r="E26" s="51"/>
      <c r="F26" s="52"/>
      <c r="G26" s="53"/>
      <c r="H26" s="54"/>
      <c r="I26" s="55"/>
      <c r="J26" s="55"/>
      <c r="L26" s="31">
        <f t="shared" si="25"/>
        <v>28.511072000000002</v>
      </c>
      <c r="M26" s="32">
        <f t="shared" si="18"/>
        <v>0.9920000000000001</v>
      </c>
      <c r="N26" s="33">
        <v>0.85071090047393438</v>
      </c>
      <c r="O26" s="34">
        <f t="shared" si="19"/>
        <v>0</v>
      </c>
      <c r="Q26" s="31">
        <f t="shared" si="26"/>
        <v>54.070487931676652</v>
      </c>
      <c r="R26" s="32">
        <v>0.9920000000000001</v>
      </c>
      <c r="S26" s="33">
        <v>0.85071090047393438</v>
      </c>
      <c r="T26" s="34">
        <f t="shared" si="20"/>
        <v>0</v>
      </c>
      <c r="V26" s="31">
        <f t="shared" si="27"/>
        <v>82.678425668375596</v>
      </c>
      <c r="W26" s="32">
        <v>0.9920000000000001</v>
      </c>
      <c r="X26" s="33">
        <v>0.85071090047393438</v>
      </c>
      <c r="Y26" s="34">
        <f t="shared" si="21"/>
        <v>8.5071090047393438E-2</v>
      </c>
      <c r="AA26" s="31">
        <f t="shared" si="28"/>
        <v>125.18037583999998</v>
      </c>
      <c r="AB26" s="32">
        <v>0.9920000000000001</v>
      </c>
      <c r="AC26" s="33">
        <v>0.85071090047393438</v>
      </c>
      <c r="AD26" s="34">
        <f t="shared" si="22"/>
        <v>8.5071090047393438E-2</v>
      </c>
      <c r="AF26" s="31">
        <f t="shared" si="29"/>
        <v>129.57397900000004</v>
      </c>
      <c r="AG26" s="32">
        <f t="shared" si="23"/>
        <v>1.0268173929457667</v>
      </c>
      <c r="AH26" s="33">
        <v>0.8</v>
      </c>
      <c r="AI26" s="34">
        <f t="shared" si="24"/>
        <v>0</v>
      </c>
    </row>
    <row r="27" spans="1:35" ht="15.6" customHeight="1" x14ac:dyDescent="0.25">
      <c r="A27" s="56"/>
      <c r="B27" s="23"/>
      <c r="C27" s="24"/>
      <c r="D27" s="24"/>
      <c r="E27" s="24"/>
      <c r="F27" s="57"/>
      <c r="G27" s="58"/>
      <c r="H27" s="54"/>
      <c r="I27" s="59"/>
      <c r="J27" s="59"/>
      <c r="L27" s="31">
        <f t="shared" si="25"/>
        <v>28.626036000000003</v>
      </c>
      <c r="M27" s="32">
        <f t="shared" si="18"/>
        <v>0.99600000000000011</v>
      </c>
      <c r="N27" s="33">
        <v>0.92535545023696719</v>
      </c>
      <c r="O27" s="34">
        <f t="shared" si="19"/>
        <v>0</v>
      </c>
      <c r="Q27" s="31">
        <f t="shared" si="26"/>
        <v>54.288514092691479</v>
      </c>
      <c r="R27" s="32">
        <v>0.99600000000000011</v>
      </c>
      <c r="S27" s="33">
        <v>0.92535545023696719</v>
      </c>
      <c r="T27" s="34">
        <f t="shared" si="20"/>
        <v>0</v>
      </c>
      <c r="V27" s="31">
        <f t="shared" si="27"/>
        <v>83.0118064170384</v>
      </c>
      <c r="W27" s="32">
        <v>0.99600000000000011</v>
      </c>
      <c r="X27" s="33">
        <v>0.92535545023696719</v>
      </c>
      <c r="Y27" s="34">
        <f t="shared" si="21"/>
        <v>9.2535545023696722E-2</v>
      </c>
      <c r="AA27" s="31">
        <f t="shared" si="28"/>
        <v>125.68513541999998</v>
      </c>
      <c r="AB27" s="32">
        <v>0.99600000000000011</v>
      </c>
      <c r="AC27" s="33">
        <v>0.92535545023696719</v>
      </c>
      <c r="AD27" s="34">
        <f t="shared" si="22"/>
        <v>9.2535545023696722E-2</v>
      </c>
      <c r="AF27" s="31">
        <f t="shared" si="29"/>
        <v>129.99698950000004</v>
      </c>
      <c r="AG27" s="32">
        <f t="shared" si="23"/>
        <v>1.0301695670639874</v>
      </c>
      <c r="AH27" s="33">
        <v>0.9</v>
      </c>
      <c r="AI27" s="34">
        <f t="shared" si="24"/>
        <v>0</v>
      </c>
    </row>
    <row r="28" spans="1:35" ht="15.6" customHeight="1" x14ac:dyDescent="0.25">
      <c r="A28" s="56"/>
      <c r="B28" s="14"/>
      <c r="C28" s="15"/>
      <c r="D28" s="15"/>
      <c r="E28" s="15"/>
      <c r="F28" s="60"/>
      <c r="G28" s="61"/>
      <c r="H28" s="54"/>
      <c r="I28" s="62"/>
      <c r="J28" s="62"/>
      <c r="L28" s="27">
        <f>$AM$4</f>
        <v>28.741</v>
      </c>
      <c r="M28" s="40">
        <f t="shared" si="18"/>
        <v>1</v>
      </c>
      <c r="N28" s="41">
        <v>1</v>
      </c>
      <c r="O28" s="41">
        <f>$C$4</f>
        <v>0</v>
      </c>
      <c r="Q28" s="27">
        <f>$AN$4</f>
        <v>54.506540253706298</v>
      </c>
      <c r="R28" s="40">
        <v>1</v>
      </c>
      <c r="S28" s="41">
        <v>1</v>
      </c>
      <c r="T28" s="41">
        <f>$D$4</f>
        <v>0</v>
      </c>
      <c r="V28" s="27">
        <f>$AO$4</f>
        <v>83.345187165701205</v>
      </c>
      <c r="W28" s="40">
        <v>1</v>
      </c>
      <c r="X28" s="41">
        <v>1</v>
      </c>
      <c r="Y28" s="41">
        <f>$E$4</f>
        <v>0.1</v>
      </c>
      <c r="AA28" s="27">
        <f>$AP$4</f>
        <v>126.18989500000001</v>
      </c>
      <c r="AB28" s="40">
        <v>1</v>
      </c>
      <c r="AC28" s="41">
        <v>1</v>
      </c>
      <c r="AD28" s="41">
        <f>$F$4</f>
        <v>0.1</v>
      </c>
      <c r="AF28" s="27">
        <f>$AQ$4</f>
        <v>130.41999999999999</v>
      </c>
      <c r="AG28" s="42">
        <f t="shared" si="23"/>
        <v>1.0335217411822077</v>
      </c>
      <c r="AH28" s="41">
        <v>1</v>
      </c>
      <c r="AI28" s="41">
        <f>$G$4</f>
        <v>0</v>
      </c>
    </row>
    <row r="29" spans="1:35" ht="15.6" customHeight="1" x14ac:dyDescent="0.25">
      <c r="A29" s="56"/>
      <c r="B29" s="23"/>
      <c r="C29" s="24"/>
      <c r="D29" s="24"/>
      <c r="E29" s="24"/>
      <c r="F29" s="57"/>
      <c r="G29" s="58"/>
      <c r="H29" s="58"/>
      <c r="I29" s="59"/>
      <c r="J29" s="59"/>
    </row>
    <row r="30" spans="1:35" ht="15.6" customHeight="1" x14ac:dyDescent="0.25">
      <c r="A30" s="56"/>
      <c r="B30" s="14"/>
      <c r="C30" s="15"/>
      <c r="D30" s="15"/>
      <c r="E30" s="15"/>
      <c r="F30" s="60"/>
      <c r="G30" s="61"/>
      <c r="H30" s="61"/>
      <c r="I30" s="62"/>
      <c r="J30" s="62"/>
      <c r="L30" s="7" t="str">
        <f>$A$5</f>
        <v>KPI 3</v>
      </c>
      <c r="M30" s="8" t="str">
        <f>VLOOKUP(L30,$A$3:$B$8,2,0)</f>
        <v>LSV/t Total</v>
      </c>
      <c r="N30" s="8"/>
      <c r="O30" s="9" t="str">
        <f>$C$2</f>
        <v>Q1</v>
      </c>
      <c r="Q30" s="7" t="str">
        <f>$A$5</f>
        <v>KPI 3</v>
      </c>
      <c r="R30" s="8" t="str">
        <f>VLOOKUP(Q30,$A$3:$B$8,2,0)</f>
        <v>LSV/t Total</v>
      </c>
      <c r="S30" s="8"/>
      <c r="T30" s="9" t="str">
        <f>$D$2</f>
        <v>Q2</v>
      </c>
      <c r="V30" s="7" t="str">
        <f>$A$5</f>
        <v>KPI 3</v>
      </c>
      <c r="W30" s="8" t="str">
        <f>VLOOKUP(V30,$A$3:$B$8,2,0)</f>
        <v>LSV/t Total</v>
      </c>
      <c r="X30" s="8"/>
      <c r="Y30" s="9" t="str">
        <f>$E$2</f>
        <v>Q3</v>
      </c>
      <c r="AA30" s="7" t="str">
        <f>$A$5</f>
        <v>KPI 3</v>
      </c>
      <c r="AB30" s="8" t="str">
        <f>VLOOKUP(AA30,$A$3:$B$8,2,0)</f>
        <v>LSV/t Total</v>
      </c>
      <c r="AC30" s="8"/>
      <c r="AD30" s="9" t="str">
        <f>$F$2</f>
        <v>Q4</v>
      </c>
      <c r="AF30" s="7" t="str">
        <f>$A$5</f>
        <v>KPI 3</v>
      </c>
      <c r="AG30" s="8" t="str">
        <f>VLOOKUP(AF30,$A$3:$B$8,2,0)</f>
        <v>LSV/t Total</v>
      </c>
      <c r="AH30" s="8"/>
      <c r="AI30" s="10" t="str">
        <f>$G$2</f>
        <v>FY (200%)</v>
      </c>
    </row>
    <row r="31" spans="1:35" ht="16.149999999999999" customHeight="1" thickBot="1" x14ac:dyDescent="0.3">
      <c r="A31" s="63"/>
      <c r="B31" s="64"/>
      <c r="C31" s="65"/>
      <c r="D31" s="65"/>
      <c r="E31" s="65"/>
      <c r="F31" s="66"/>
      <c r="G31" s="67"/>
      <c r="H31" s="68"/>
      <c r="I31" s="59"/>
      <c r="J31" s="59"/>
      <c r="L31" s="75" t="s">
        <v>25</v>
      </c>
      <c r="M31" s="76" t="s">
        <v>9</v>
      </c>
      <c r="N31" s="77" t="s">
        <v>10</v>
      </c>
      <c r="O31" s="21" t="s">
        <v>11</v>
      </c>
      <c r="Q31" s="75" t="s">
        <v>25</v>
      </c>
      <c r="R31" s="76" t="s">
        <v>9</v>
      </c>
      <c r="S31" s="77" t="s">
        <v>10</v>
      </c>
      <c r="T31" s="21" t="s">
        <v>11</v>
      </c>
      <c r="V31" s="75" t="s">
        <v>25</v>
      </c>
      <c r="W31" s="76" t="s">
        <v>9</v>
      </c>
      <c r="X31" s="77" t="s">
        <v>10</v>
      </c>
      <c r="Y31" s="21" t="s">
        <v>11</v>
      </c>
      <c r="AA31" s="75" t="s">
        <v>25</v>
      </c>
      <c r="AB31" s="76" t="s">
        <v>9</v>
      </c>
      <c r="AC31" s="77" t="s">
        <v>10</v>
      </c>
      <c r="AD31" s="21" t="s">
        <v>11</v>
      </c>
      <c r="AF31" s="75" t="s">
        <v>25</v>
      </c>
      <c r="AG31" s="76" t="s">
        <v>9</v>
      </c>
      <c r="AH31" s="77" t="s">
        <v>10</v>
      </c>
      <c r="AI31" s="21" t="s">
        <v>11</v>
      </c>
    </row>
    <row r="32" spans="1:35" ht="16.149999999999999" customHeight="1" thickBot="1" x14ac:dyDescent="0.3">
      <c r="A32" s="69"/>
      <c r="B32" s="70"/>
      <c r="C32" s="71"/>
      <c r="D32" s="71"/>
      <c r="E32" s="71"/>
      <c r="F32" s="72"/>
      <c r="G32" s="73"/>
      <c r="H32" s="73"/>
      <c r="I32" s="74"/>
      <c r="J32" s="74"/>
      <c r="L32" s="27">
        <f>L42*0.973</f>
        <v>280.25318999999996</v>
      </c>
      <c r="M32" s="28">
        <f t="shared" ref="M32:M42" si="31">L32/L$42</f>
        <v>0.97299999999999998</v>
      </c>
      <c r="N32" s="29">
        <v>0</v>
      </c>
      <c r="O32" s="30">
        <f t="shared" ref="O32:O41" si="32">O$42*N32</f>
        <v>0</v>
      </c>
      <c r="Q32" s="27">
        <f>Q42*0.973</f>
        <v>285.04429275765682</v>
      </c>
      <c r="R32" s="28">
        <f t="shared" ref="R32:R42" si="33">Q32/Q$42</f>
        <v>0.97299999999999998</v>
      </c>
      <c r="S32" s="29">
        <v>0</v>
      </c>
      <c r="T32" s="30">
        <f t="shared" ref="T32:T41" si="34">T$42*S32</f>
        <v>0</v>
      </c>
      <c r="V32" s="27">
        <f>V42*0.973</f>
        <v>286.95517396198221</v>
      </c>
      <c r="W32" s="28">
        <f t="shared" ref="W32:W42" si="35">V32/V$42</f>
        <v>0.97299999999999998</v>
      </c>
      <c r="X32" s="29">
        <v>0</v>
      </c>
      <c r="Y32" s="30">
        <f t="shared" ref="Y32:Y41" si="36">Y$42*X32</f>
        <v>0</v>
      </c>
      <c r="AA32" s="27">
        <f>AA42*0.973</f>
        <v>288.48343914836181</v>
      </c>
      <c r="AB32" s="28">
        <f t="shared" ref="AB32:AB42" si="37">AA32/AA$42</f>
        <v>0.97299999999999998</v>
      </c>
      <c r="AC32" s="29">
        <v>0</v>
      </c>
      <c r="AD32" s="30">
        <f t="shared" ref="AD32:AD41" si="38">AD$42*AC32</f>
        <v>0</v>
      </c>
      <c r="AF32" s="27">
        <f>AA42</f>
        <v>296.48863221825468</v>
      </c>
      <c r="AG32" s="28">
        <f t="shared" ref="AG32:AG42" si="39">AF32/$AF$32</f>
        <v>1</v>
      </c>
      <c r="AH32" s="29">
        <v>0</v>
      </c>
      <c r="AI32" s="30">
        <f t="shared" ref="AI32:AI41" si="40">AI$42*AH32</f>
        <v>0</v>
      </c>
    </row>
    <row r="33" spans="3:35" x14ac:dyDescent="0.25">
      <c r="L33" s="31">
        <f t="shared" ref="L33:L41" si="41">L32+(L$42-L$32)/10</f>
        <v>281.03087099999993</v>
      </c>
      <c r="M33" s="32">
        <f t="shared" si="31"/>
        <v>0.9756999999999999</v>
      </c>
      <c r="N33" s="33">
        <v>0.1</v>
      </c>
      <c r="O33" s="34">
        <f t="shared" si="32"/>
        <v>1.4999999999999999E-2</v>
      </c>
      <c r="Q33" s="31">
        <f t="shared" ref="Q33:Q41" si="42">Q32+(Q$42-Q$32)/10</f>
        <v>285.83526869850539</v>
      </c>
      <c r="R33" s="32">
        <f t="shared" si="33"/>
        <v>0.9756999999999999</v>
      </c>
      <c r="S33" s="33">
        <v>0.1</v>
      </c>
      <c r="T33" s="34">
        <f t="shared" si="34"/>
        <v>1.4999999999999999E-2</v>
      </c>
      <c r="V33" s="31">
        <f t="shared" ref="V33:V41" si="43">V32+(V$42-V$32)/10</f>
        <v>287.75145245087981</v>
      </c>
      <c r="W33" s="32">
        <f t="shared" si="35"/>
        <v>0.97570000000000001</v>
      </c>
      <c r="X33" s="33">
        <v>0.1</v>
      </c>
      <c r="Y33" s="34">
        <f t="shared" si="36"/>
        <v>5.000000000000001E-3</v>
      </c>
      <c r="AA33" s="31">
        <f t="shared" ref="AA33:AA41" si="44">AA32+(AA$42-AA$32)/10</f>
        <v>289.28395845535113</v>
      </c>
      <c r="AB33" s="32">
        <f t="shared" si="37"/>
        <v>0.97570000000000012</v>
      </c>
      <c r="AC33" s="33">
        <v>0.1</v>
      </c>
      <c r="AD33" s="34">
        <f t="shared" si="38"/>
        <v>5.000000000000001E-3</v>
      </c>
      <c r="AF33" s="31">
        <f t="shared" ref="AF33:AF41" si="45">AF32+(AF$42-AF$32)/10</f>
        <v>296.65976899642919</v>
      </c>
      <c r="AG33" s="32">
        <f t="shared" si="39"/>
        <v>1.0005772119385965</v>
      </c>
      <c r="AH33" s="33">
        <v>0.1</v>
      </c>
      <c r="AI33" s="34">
        <f t="shared" si="40"/>
        <v>0</v>
      </c>
    </row>
    <row r="34" spans="3:35" x14ac:dyDescent="0.25">
      <c r="C34" s="154"/>
      <c r="D34" s="154"/>
      <c r="L34" s="31">
        <f t="shared" si="41"/>
        <v>281.80855199999996</v>
      </c>
      <c r="M34" s="32">
        <f t="shared" si="31"/>
        <v>0.97839999999999994</v>
      </c>
      <c r="N34" s="33">
        <v>0.2</v>
      </c>
      <c r="O34" s="34">
        <f t="shared" si="32"/>
        <v>0.03</v>
      </c>
      <c r="Q34" s="31">
        <f t="shared" si="42"/>
        <v>286.62624463935396</v>
      </c>
      <c r="R34" s="32">
        <f t="shared" si="33"/>
        <v>0.97839999999999983</v>
      </c>
      <c r="S34" s="33">
        <v>0.2</v>
      </c>
      <c r="T34" s="34">
        <f t="shared" si="34"/>
        <v>0.03</v>
      </c>
      <c r="V34" s="31">
        <f t="shared" si="43"/>
        <v>288.54773093977741</v>
      </c>
      <c r="W34" s="32">
        <f t="shared" si="35"/>
        <v>0.97840000000000005</v>
      </c>
      <c r="X34" s="33">
        <v>0.2</v>
      </c>
      <c r="Y34" s="34">
        <f t="shared" si="36"/>
        <v>1.0000000000000002E-2</v>
      </c>
      <c r="AA34" s="31">
        <f t="shared" si="44"/>
        <v>290.08447776234038</v>
      </c>
      <c r="AB34" s="32">
        <f t="shared" si="37"/>
        <v>0.97840000000000005</v>
      </c>
      <c r="AC34" s="33">
        <v>0.2</v>
      </c>
      <c r="AD34" s="34">
        <f t="shared" si="38"/>
        <v>1.0000000000000002E-2</v>
      </c>
      <c r="AF34" s="31">
        <f t="shared" si="45"/>
        <v>296.83090577460371</v>
      </c>
      <c r="AG34" s="32">
        <f t="shared" si="39"/>
        <v>1.001154423877193</v>
      </c>
      <c r="AH34" s="33">
        <v>0.2</v>
      </c>
      <c r="AI34" s="34">
        <f t="shared" si="40"/>
        <v>0</v>
      </c>
    </row>
    <row r="35" spans="3:35" x14ac:dyDescent="0.25">
      <c r="L35" s="31">
        <f t="shared" si="41"/>
        <v>282.58623299999999</v>
      </c>
      <c r="M35" s="32">
        <f t="shared" si="31"/>
        <v>0.98110000000000008</v>
      </c>
      <c r="N35" s="33">
        <v>0.3</v>
      </c>
      <c r="O35" s="34">
        <f t="shared" si="32"/>
        <v>4.4999999999999998E-2</v>
      </c>
      <c r="Q35" s="31">
        <f t="shared" si="42"/>
        <v>287.41722058020252</v>
      </c>
      <c r="R35" s="32">
        <f t="shared" si="33"/>
        <v>0.98109999999999986</v>
      </c>
      <c r="S35" s="33">
        <v>0.3</v>
      </c>
      <c r="T35" s="34">
        <f t="shared" si="34"/>
        <v>4.4999999999999998E-2</v>
      </c>
      <c r="V35" s="31">
        <f t="shared" si="43"/>
        <v>289.34400942867501</v>
      </c>
      <c r="W35" s="32">
        <f t="shared" si="35"/>
        <v>0.98110000000000008</v>
      </c>
      <c r="X35" s="33">
        <v>0.3</v>
      </c>
      <c r="Y35" s="34">
        <f t="shared" si="36"/>
        <v>1.4999999999999999E-2</v>
      </c>
      <c r="AA35" s="31">
        <f t="shared" si="44"/>
        <v>290.88499706932964</v>
      </c>
      <c r="AB35" s="32">
        <f t="shared" si="37"/>
        <v>0.98109999999999997</v>
      </c>
      <c r="AC35" s="33">
        <v>0.3</v>
      </c>
      <c r="AD35" s="34">
        <f t="shared" si="38"/>
        <v>1.4999999999999999E-2</v>
      </c>
      <c r="AF35" s="31">
        <f t="shared" si="45"/>
        <v>297.00204255277822</v>
      </c>
      <c r="AG35" s="32">
        <f t="shared" si="39"/>
        <v>1.0017316358157895</v>
      </c>
      <c r="AH35" s="33">
        <v>0.3</v>
      </c>
      <c r="AI35" s="34">
        <f t="shared" si="40"/>
        <v>0</v>
      </c>
    </row>
    <row r="36" spans="3:35" x14ac:dyDescent="0.25">
      <c r="L36" s="31">
        <f t="shared" si="41"/>
        <v>283.36391400000002</v>
      </c>
      <c r="M36" s="32">
        <f t="shared" si="31"/>
        <v>0.98380000000000012</v>
      </c>
      <c r="N36" s="33">
        <v>0.4</v>
      </c>
      <c r="O36" s="34">
        <f t="shared" si="32"/>
        <v>0.06</v>
      </c>
      <c r="Q36" s="31">
        <f t="shared" si="42"/>
        <v>288.20819652105109</v>
      </c>
      <c r="R36" s="32">
        <f t="shared" si="33"/>
        <v>0.98379999999999979</v>
      </c>
      <c r="S36" s="33">
        <v>0.4</v>
      </c>
      <c r="T36" s="34">
        <f t="shared" si="34"/>
        <v>0.06</v>
      </c>
      <c r="V36" s="31">
        <f t="shared" si="43"/>
        <v>290.14028791757261</v>
      </c>
      <c r="W36" s="32">
        <f t="shared" si="35"/>
        <v>0.98380000000000012</v>
      </c>
      <c r="X36" s="33">
        <v>0.4</v>
      </c>
      <c r="Y36" s="34">
        <f t="shared" si="36"/>
        <v>2.0000000000000004E-2</v>
      </c>
      <c r="AA36" s="31">
        <f t="shared" si="44"/>
        <v>291.6855163763189</v>
      </c>
      <c r="AB36" s="32">
        <f t="shared" si="37"/>
        <v>0.98379999999999979</v>
      </c>
      <c r="AC36" s="33">
        <v>0.4</v>
      </c>
      <c r="AD36" s="34">
        <f t="shared" si="38"/>
        <v>2.0000000000000004E-2</v>
      </c>
      <c r="AF36" s="31">
        <f t="shared" si="45"/>
        <v>297.17317933095273</v>
      </c>
      <c r="AG36" s="32">
        <f t="shared" si="39"/>
        <v>1.0023088477543858</v>
      </c>
      <c r="AH36" s="33">
        <v>0.4</v>
      </c>
      <c r="AI36" s="34">
        <f t="shared" si="40"/>
        <v>0</v>
      </c>
    </row>
    <row r="37" spans="3:35" x14ac:dyDescent="0.25">
      <c r="L37" s="31">
        <f t="shared" si="41"/>
        <v>284.14159500000005</v>
      </c>
      <c r="M37" s="32">
        <f t="shared" si="31"/>
        <v>0.98650000000000027</v>
      </c>
      <c r="N37" s="33">
        <v>0.5</v>
      </c>
      <c r="O37" s="34">
        <f t="shared" si="32"/>
        <v>7.4999999999999997E-2</v>
      </c>
      <c r="Q37" s="31">
        <f t="shared" si="42"/>
        <v>288.99917246189966</v>
      </c>
      <c r="R37" s="32">
        <f t="shared" si="33"/>
        <v>0.98649999999999971</v>
      </c>
      <c r="S37" s="33">
        <v>0.5</v>
      </c>
      <c r="T37" s="34">
        <f t="shared" si="34"/>
        <v>7.4999999999999997E-2</v>
      </c>
      <c r="V37" s="31">
        <f t="shared" si="43"/>
        <v>290.93656640647021</v>
      </c>
      <c r="W37" s="32">
        <f t="shared" si="35"/>
        <v>0.98650000000000015</v>
      </c>
      <c r="X37" s="33">
        <v>0.5</v>
      </c>
      <c r="Y37" s="34">
        <f t="shared" si="36"/>
        <v>2.5000000000000001E-2</v>
      </c>
      <c r="AA37" s="31">
        <f t="shared" si="44"/>
        <v>292.48603568330816</v>
      </c>
      <c r="AB37" s="32">
        <f t="shared" si="37"/>
        <v>0.98649999999999971</v>
      </c>
      <c r="AC37" s="33">
        <v>0.5</v>
      </c>
      <c r="AD37" s="34">
        <f t="shared" si="38"/>
        <v>2.5000000000000001E-2</v>
      </c>
      <c r="AF37" s="31">
        <f t="shared" si="45"/>
        <v>297.34431610912725</v>
      </c>
      <c r="AG37" s="32">
        <f t="shared" si="39"/>
        <v>1.0028860596929823</v>
      </c>
      <c r="AH37" s="33">
        <v>0.5</v>
      </c>
      <c r="AI37" s="34">
        <f t="shared" si="40"/>
        <v>0</v>
      </c>
    </row>
    <row r="38" spans="3:35" x14ac:dyDescent="0.25">
      <c r="L38" s="31">
        <f t="shared" si="41"/>
        <v>284.91927600000008</v>
      </c>
      <c r="M38" s="32">
        <f t="shared" si="31"/>
        <v>0.98920000000000041</v>
      </c>
      <c r="N38" s="33">
        <v>0.6</v>
      </c>
      <c r="O38" s="34">
        <f t="shared" si="32"/>
        <v>0.09</v>
      </c>
      <c r="Q38" s="31">
        <f t="shared" si="42"/>
        <v>289.79014840274823</v>
      </c>
      <c r="R38" s="32">
        <f t="shared" si="33"/>
        <v>0.98919999999999964</v>
      </c>
      <c r="S38" s="33">
        <v>0.6</v>
      </c>
      <c r="T38" s="34">
        <f t="shared" si="34"/>
        <v>0.09</v>
      </c>
      <c r="V38" s="31">
        <f t="shared" si="43"/>
        <v>291.7328448953678</v>
      </c>
      <c r="W38" s="32">
        <f t="shared" si="35"/>
        <v>0.98920000000000019</v>
      </c>
      <c r="X38" s="33">
        <v>0.6</v>
      </c>
      <c r="Y38" s="34">
        <f t="shared" si="36"/>
        <v>0.03</v>
      </c>
      <c r="AA38" s="31">
        <f t="shared" si="44"/>
        <v>293.28655499029742</v>
      </c>
      <c r="AB38" s="32">
        <f t="shared" si="37"/>
        <v>0.98919999999999964</v>
      </c>
      <c r="AC38" s="33">
        <v>0.6</v>
      </c>
      <c r="AD38" s="34">
        <f t="shared" si="38"/>
        <v>0.03</v>
      </c>
      <c r="AF38" s="31">
        <f t="shared" si="45"/>
        <v>297.51545288730176</v>
      </c>
      <c r="AG38" s="32">
        <f t="shared" si="39"/>
        <v>1.0034632716315788</v>
      </c>
      <c r="AH38" s="33">
        <v>0.6</v>
      </c>
      <c r="AI38" s="34">
        <f t="shared" si="40"/>
        <v>0</v>
      </c>
    </row>
    <row r="39" spans="3:35" x14ac:dyDescent="0.25">
      <c r="L39" s="31">
        <f t="shared" si="41"/>
        <v>285.69695700000011</v>
      </c>
      <c r="M39" s="32">
        <f t="shared" si="31"/>
        <v>0.99190000000000045</v>
      </c>
      <c r="N39" s="33">
        <v>0.7</v>
      </c>
      <c r="O39" s="34">
        <f t="shared" si="32"/>
        <v>0.105</v>
      </c>
      <c r="Q39" s="31">
        <f t="shared" si="42"/>
        <v>290.5811243435968</v>
      </c>
      <c r="R39" s="32">
        <f t="shared" si="33"/>
        <v>0.99189999999999956</v>
      </c>
      <c r="S39" s="33">
        <v>0.7</v>
      </c>
      <c r="T39" s="34">
        <f t="shared" si="34"/>
        <v>0.105</v>
      </c>
      <c r="V39" s="31">
        <f t="shared" si="43"/>
        <v>292.5291233842654</v>
      </c>
      <c r="W39" s="32">
        <f t="shared" si="35"/>
        <v>0.99190000000000023</v>
      </c>
      <c r="X39" s="33">
        <v>0.7</v>
      </c>
      <c r="Y39" s="34">
        <f t="shared" si="36"/>
        <v>3.4999999999999996E-2</v>
      </c>
      <c r="AA39" s="31">
        <f t="shared" si="44"/>
        <v>294.08707429728668</v>
      </c>
      <c r="AB39" s="32">
        <f t="shared" si="37"/>
        <v>0.99189999999999956</v>
      </c>
      <c r="AC39" s="33">
        <v>0.7</v>
      </c>
      <c r="AD39" s="34">
        <f t="shared" si="38"/>
        <v>3.4999999999999996E-2</v>
      </c>
      <c r="AF39" s="31">
        <f t="shared" si="45"/>
        <v>297.68658966547628</v>
      </c>
      <c r="AG39" s="32">
        <f t="shared" si="39"/>
        <v>1.0040404835701753</v>
      </c>
      <c r="AH39" s="33">
        <v>0.7</v>
      </c>
      <c r="AI39" s="34">
        <f t="shared" si="40"/>
        <v>0</v>
      </c>
    </row>
    <row r="40" spans="3:35" x14ac:dyDescent="0.25">
      <c r="L40" s="31">
        <f t="shared" si="41"/>
        <v>286.47463800000014</v>
      </c>
      <c r="M40" s="32">
        <f t="shared" si="31"/>
        <v>0.99460000000000059</v>
      </c>
      <c r="N40" s="33">
        <v>0.8</v>
      </c>
      <c r="O40" s="34">
        <f t="shared" si="32"/>
        <v>0.12</v>
      </c>
      <c r="Q40" s="31">
        <f t="shared" si="42"/>
        <v>291.37210028444537</v>
      </c>
      <c r="R40" s="32">
        <f t="shared" si="33"/>
        <v>0.99459999999999948</v>
      </c>
      <c r="S40" s="33">
        <v>0.8</v>
      </c>
      <c r="T40" s="34">
        <f t="shared" si="34"/>
        <v>0.12</v>
      </c>
      <c r="V40" s="31">
        <f t="shared" si="43"/>
        <v>293.325401873163</v>
      </c>
      <c r="W40" s="32">
        <f t="shared" si="35"/>
        <v>0.99460000000000026</v>
      </c>
      <c r="X40" s="33">
        <v>0.8</v>
      </c>
      <c r="Y40" s="34">
        <f t="shared" si="36"/>
        <v>4.0000000000000008E-2</v>
      </c>
      <c r="AA40" s="31">
        <f t="shared" si="44"/>
        <v>294.88759360427593</v>
      </c>
      <c r="AB40" s="32">
        <f t="shared" si="37"/>
        <v>0.99459999999999948</v>
      </c>
      <c r="AC40" s="33">
        <v>0.8</v>
      </c>
      <c r="AD40" s="34">
        <f t="shared" si="38"/>
        <v>4.0000000000000008E-2</v>
      </c>
      <c r="AF40" s="31">
        <f t="shared" si="45"/>
        <v>297.85772644365079</v>
      </c>
      <c r="AG40" s="32">
        <f t="shared" si="39"/>
        <v>1.0046176955087718</v>
      </c>
      <c r="AH40" s="33">
        <v>0.8</v>
      </c>
      <c r="AI40" s="34">
        <f t="shared" si="40"/>
        <v>0</v>
      </c>
    </row>
    <row r="41" spans="3:35" x14ac:dyDescent="0.25">
      <c r="L41" s="31">
        <f t="shared" si="41"/>
        <v>287.25231900000017</v>
      </c>
      <c r="M41" s="32">
        <f t="shared" si="31"/>
        <v>0.99730000000000074</v>
      </c>
      <c r="N41" s="33">
        <v>0.9</v>
      </c>
      <c r="O41" s="34">
        <f t="shared" si="32"/>
        <v>0.13500000000000001</v>
      </c>
      <c r="Q41" s="31">
        <f t="shared" si="42"/>
        <v>292.16307622529393</v>
      </c>
      <c r="R41" s="32">
        <f t="shared" si="33"/>
        <v>0.99729999999999952</v>
      </c>
      <c r="S41" s="33">
        <v>0.9</v>
      </c>
      <c r="T41" s="34">
        <f t="shared" si="34"/>
        <v>0.13500000000000001</v>
      </c>
      <c r="V41" s="31">
        <f t="shared" si="43"/>
        <v>294.1216803620606</v>
      </c>
      <c r="W41" s="32">
        <f t="shared" si="35"/>
        <v>0.9973000000000003</v>
      </c>
      <c r="X41" s="33">
        <v>0.9</v>
      </c>
      <c r="Y41" s="34">
        <f t="shared" si="36"/>
        <v>4.5000000000000005E-2</v>
      </c>
      <c r="AA41" s="31">
        <f t="shared" si="44"/>
        <v>295.68811291126519</v>
      </c>
      <c r="AB41" s="32">
        <f t="shared" si="37"/>
        <v>0.9972999999999993</v>
      </c>
      <c r="AC41" s="33">
        <v>0.9</v>
      </c>
      <c r="AD41" s="34">
        <f t="shared" si="38"/>
        <v>4.5000000000000005E-2</v>
      </c>
      <c r="AF41" s="31">
        <f t="shared" si="45"/>
        <v>298.0288632218253</v>
      </c>
      <c r="AG41" s="32">
        <f t="shared" si="39"/>
        <v>1.0051949074473683</v>
      </c>
      <c r="AH41" s="33">
        <v>0.9</v>
      </c>
      <c r="AI41" s="34">
        <f t="shared" si="40"/>
        <v>0</v>
      </c>
    </row>
    <row r="42" spans="3:35" x14ac:dyDescent="0.25">
      <c r="L42" s="78">
        <f>$AM$5</f>
        <v>288.02999999999997</v>
      </c>
      <c r="M42" s="40">
        <f t="shared" si="31"/>
        <v>1</v>
      </c>
      <c r="N42" s="41">
        <v>1</v>
      </c>
      <c r="O42" s="41">
        <f>$C$5</f>
        <v>0.15</v>
      </c>
      <c r="Q42" s="78">
        <f>$AN$5</f>
        <v>292.95405216614267</v>
      </c>
      <c r="R42" s="40">
        <f t="shared" si="33"/>
        <v>1</v>
      </c>
      <c r="S42" s="41">
        <v>1</v>
      </c>
      <c r="T42" s="41">
        <f>$D$5</f>
        <v>0.15</v>
      </c>
      <c r="V42" s="78">
        <f>$AO$5</f>
        <v>294.91795885095809</v>
      </c>
      <c r="W42" s="40">
        <f t="shared" si="35"/>
        <v>1</v>
      </c>
      <c r="X42" s="41">
        <v>1</v>
      </c>
      <c r="Y42" s="41">
        <f>$E$5</f>
        <v>0.05</v>
      </c>
      <c r="AA42" s="78">
        <f>$AP$5</f>
        <v>296.48863221825468</v>
      </c>
      <c r="AB42" s="40">
        <f t="shared" si="37"/>
        <v>1</v>
      </c>
      <c r="AC42" s="41">
        <v>1</v>
      </c>
      <c r="AD42" s="41">
        <f>$F$5</f>
        <v>0.05</v>
      </c>
      <c r="AF42" s="78">
        <f>$AQ$5</f>
        <v>298.2</v>
      </c>
      <c r="AG42" s="42">
        <f t="shared" si="39"/>
        <v>1.0057721193859652</v>
      </c>
      <c r="AH42" s="41">
        <v>1</v>
      </c>
      <c r="AI42" s="41">
        <f>$G$5</f>
        <v>0</v>
      </c>
    </row>
    <row r="44" spans="3:35" x14ac:dyDescent="0.25">
      <c r="L44" s="7" t="str">
        <f>$A$6</f>
        <v>KPI 4</v>
      </c>
      <c r="M44" s="8" t="str">
        <f>VLOOKUP(L44,$A$3:$B$8,2,0)</f>
        <v>LSV/t Team</v>
      </c>
      <c r="N44" s="8"/>
      <c r="O44" s="9" t="str">
        <f>$C$2</f>
        <v>Q1</v>
      </c>
      <c r="Q44" s="7" t="str">
        <f>$A$6</f>
        <v>KPI 4</v>
      </c>
      <c r="R44" s="8" t="str">
        <f>VLOOKUP(Q44,$A$3:$B$8,2,0)</f>
        <v>LSV/t Team</v>
      </c>
      <c r="S44" s="8"/>
      <c r="T44" s="9" t="str">
        <f>$D$2</f>
        <v>Q2</v>
      </c>
      <c r="V44" s="7" t="str">
        <f>$A$6</f>
        <v>KPI 4</v>
      </c>
      <c r="W44" s="8" t="str">
        <f>VLOOKUP(V44,$A$3:$B$8,2,0)</f>
        <v>LSV/t Team</v>
      </c>
      <c r="X44" s="8"/>
      <c r="Y44" s="9" t="str">
        <f>$E$2</f>
        <v>Q3</v>
      </c>
      <c r="AA44" s="7" t="str">
        <f>$A$6</f>
        <v>KPI 4</v>
      </c>
      <c r="AB44" s="8" t="str">
        <f>VLOOKUP(AA44,$A$3:$B$8,2,0)</f>
        <v>LSV/t Team</v>
      </c>
      <c r="AC44" s="8"/>
      <c r="AD44" s="9" t="str">
        <f>$F$2</f>
        <v>Q4</v>
      </c>
      <c r="AF44" s="7" t="str">
        <f>$A$6</f>
        <v>KPI 4</v>
      </c>
      <c r="AG44" s="8" t="str">
        <f>VLOOKUP(AF44,$A$3:$B$8,2,0)</f>
        <v>LSV/t Team</v>
      </c>
      <c r="AH44" s="8"/>
      <c r="AI44" s="10" t="str">
        <f>$G$2</f>
        <v>FY (200%)</v>
      </c>
    </row>
    <row r="45" spans="3:35" x14ac:dyDescent="0.25">
      <c r="L45" s="75" t="s">
        <v>25</v>
      </c>
      <c r="M45" s="76" t="s">
        <v>9</v>
      </c>
      <c r="N45" s="77" t="s">
        <v>10</v>
      </c>
      <c r="O45" s="21" t="s">
        <v>11</v>
      </c>
      <c r="Q45" s="75" t="s">
        <v>25</v>
      </c>
      <c r="R45" s="76" t="s">
        <v>9</v>
      </c>
      <c r="S45" s="77" t="s">
        <v>10</v>
      </c>
      <c r="T45" s="21" t="s">
        <v>11</v>
      </c>
      <c r="V45" s="75" t="s">
        <v>25</v>
      </c>
      <c r="W45" s="76" t="s">
        <v>9</v>
      </c>
      <c r="X45" s="77" t="s">
        <v>10</v>
      </c>
      <c r="Y45" s="21" t="s">
        <v>11</v>
      </c>
      <c r="AA45" s="75" t="s">
        <v>25</v>
      </c>
      <c r="AB45" s="76" t="s">
        <v>9</v>
      </c>
      <c r="AC45" s="77" t="s">
        <v>10</v>
      </c>
      <c r="AD45" s="21" t="s">
        <v>11</v>
      </c>
      <c r="AF45" s="75" t="s">
        <v>25</v>
      </c>
      <c r="AG45" s="76" t="s">
        <v>9</v>
      </c>
      <c r="AH45" s="77" t="s">
        <v>10</v>
      </c>
      <c r="AI45" s="21" t="s">
        <v>11</v>
      </c>
    </row>
    <row r="46" spans="3:35" x14ac:dyDescent="0.25">
      <c r="L46" s="27">
        <f>L56*0.973</f>
        <v>280.25318999999996</v>
      </c>
      <c r="M46" s="28">
        <f t="shared" ref="M46:M56" si="46">L46/L$56</f>
        <v>0.97299999999999998</v>
      </c>
      <c r="N46" s="29">
        <v>0</v>
      </c>
      <c r="O46" s="30">
        <f t="shared" ref="O46:O55" si="47">O$56*N46</f>
        <v>0</v>
      </c>
      <c r="Q46" s="27">
        <f>Q56*0.973</f>
        <v>285.04429275765682</v>
      </c>
      <c r="R46" s="28">
        <f t="shared" ref="R46:R56" si="48">Q46/Q$56</f>
        <v>0.97299999999999998</v>
      </c>
      <c r="S46" s="29">
        <v>0</v>
      </c>
      <c r="T46" s="30">
        <f t="shared" ref="T46:T55" si="49">T$56*S46</f>
        <v>0</v>
      </c>
      <c r="V46" s="27">
        <f>V56*0.973</f>
        <v>286.95517396198221</v>
      </c>
      <c r="W46" s="28">
        <f t="shared" ref="W46:W56" si="50">V46/V$56</f>
        <v>0.97299999999999998</v>
      </c>
      <c r="X46" s="29">
        <v>0</v>
      </c>
      <c r="Y46" s="30">
        <f t="shared" ref="Y46:Y55" si="51">Y$56*X46</f>
        <v>0</v>
      </c>
      <c r="AA46" s="27">
        <f>AA56*0.973</f>
        <v>288.48343914836181</v>
      </c>
      <c r="AB46" s="28">
        <f t="shared" ref="AB46:AB56" si="52">AA46/AA$56</f>
        <v>0.97299999999999998</v>
      </c>
      <c r="AC46" s="29">
        <v>0</v>
      </c>
      <c r="AD46" s="30">
        <f t="shared" ref="AD46:AD55" si="53">AD$56*AC46</f>
        <v>0</v>
      </c>
      <c r="AF46" s="27">
        <f>AA56</f>
        <v>296.48863221825468</v>
      </c>
      <c r="AG46" s="28">
        <f t="shared" ref="AG46:AG56" si="54">AF46/$AF$46</f>
        <v>1</v>
      </c>
      <c r="AH46" s="29">
        <v>0</v>
      </c>
      <c r="AI46" s="30">
        <f t="shared" ref="AI46:AI55" si="55">AI$56*AH46</f>
        <v>0</v>
      </c>
    </row>
    <row r="47" spans="3:35" x14ac:dyDescent="0.25">
      <c r="L47" s="31">
        <f t="shared" ref="L47:L55" si="56">L46+(L$56-L$46)/10</f>
        <v>281.03087099999993</v>
      </c>
      <c r="M47" s="32">
        <f t="shared" si="46"/>
        <v>0.9756999999999999</v>
      </c>
      <c r="N47" s="33">
        <v>0.1</v>
      </c>
      <c r="O47" s="34">
        <f t="shared" si="47"/>
        <v>0</v>
      </c>
      <c r="Q47" s="31">
        <f t="shared" ref="Q47:Q55" si="57">Q46+(Q$56-Q$46)/10</f>
        <v>285.83526869850539</v>
      </c>
      <c r="R47" s="32">
        <f t="shared" si="48"/>
        <v>0.9756999999999999</v>
      </c>
      <c r="S47" s="33">
        <v>0.1</v>
      </c>
      <c r="T47" s="34">
        <f t="shared" si="49"/>
        <v>0</v>
      </c>
      <c r="V47" s="31">
        <f t="shared" ref="V47:V55" si="58">V46+(V$56-V$46)/10</f>
        <v>287.75145245087981</v>
      </c>
      <c r="W47" s="32">
        <f t="shared" si="50"/>
        <v>0.97570000000000001</v>
      </c>
      <c r="X47" s="33">
        <v>0.1</v>
      </c>
      <c r="Y47" s="34">
        <f t="shared" si="51"/>
        <v>1.0000000000000002E-2</v>
      </c>
      <c r="AA47" s="31">
        <f t="shared" ref="AA47:AA55" si="59">AA46+(AA$56-AA$46)/10</f>
        <v>289.28395845535113</v>
      </c>
      <c r="AB47" s="32">
        <f t="shared" si="52"/>
        <v>0.97570000000000012</v>
      </c>
      <c r="AC47" s="33">
        <v>0.1</v>
      </c>
      <c r="AD47" s="34">
        <f t="shared" si="53"/>
        <v>1.0000000000000002E-2</v>
      </c>
      <c r="AF47" s="31">
        <f t="shared" ref="AF47:AF55" si="60">AF46+(AF$56-AF$46)/10</f>
        <v>296.65976899642919</v>
      </c>
      <c r="AG47" s="32">
        <f t="shared" si="54"/>
        <v>1.0005772119385965</v>
      </c>
      <c r="AH47" s="33">
        <v>0.1</v>
      </c>
      <c r="AI47" s="34">
        <f t="shared" si="55"/>
        <v>0</v>
      </c>
    </row>
    <row r="48" spans="3:35" x14ac:dyDescent="0.25">
      <c r="L48" s="31">
        <f t="shared" si="56"/>
        <v>281.80855199999996</v>
      </c>
      <c r="M48" s="32">
        <f t="shared" si="46"/>
        <v>0.97839999999999994</v>
      </c>
      <c r="N48" s="33">
        <v>0.2</v>
      </c>
      <c r="O48" s="34">
        <f t="shared" si="47"/>
        <v>0</v>
      </c>
      <c r="Q48" s="31">
        <f t="shared" si="57"/>
        <v>286.62624463935396</v>
      </c>
      <c r="R48" s="32">
        <f t="shared" si="48"/>
        <v>0.97839999999999983</v>
      </c>
      <c r="S48" s="33">
        <v>0.2</v>
      </c>
      <c r="T48" s="34">
        <f t="shared" si="49"/>
        <v>0</v>
      </c>
      <c r="V48" s="31">
        <f t="shared" si="58"/>
        <v>288.54773093977741</v>
      </c>
      <c r="W48" s="32">
        <f t="shared" si="50"/>
        <v>0.97840000000000005</v>
      </c>
      <c r="X48" s="33">
        <v>0.2</v>
      </c>
      <c r="Y48" s="34">
        <f t="shared" si="51"/>
        <v>2.0000000000000004E-2</v>
      </c>
      <c r="AA48" s="31">
        <f t="shared" si="59"/>
        <v>290.08447776234038</v>
      </c>
      <c r="AB48" s="32">
        <f t="shared" si="52"/>
        <v>0.97840000000000005</v>
      </c>
      <c r="AC48" s="33">
        <v>0.2</v>
      </c>
      <c r="AD48" s="34">
        <f t="shared" si="53"/>
        <v>2.0000000000000004E-2</v>
      </c>
      <c r="AF48" s="31">
        <f t="shared" si="60"/>
        <v>296.83090577460371</v>
      </c>
      <c r="AG48" s="32">
        <f t="shared" si="54"/>
        <v>1.001154423877193</v>
      </c>
      <c r="AH48" s="33">
        <v>0.2</v>
      </c>
      <c r="AI48" s="34">
        <f t="shared" si="55"/>
        <v>0</v>
      </c>
    </row>
    <row r="49" spans="12:35" x14ac:dyDescent="0.25">
      <c r="L49" s="31">
        <f t="shared" si="56"/>
        <v>282.58623299999999</v>
      </c>
      <c r="M49" s="32">
        <f t="shared" si="46"/>
        <v>0.98110000000000008</v>
      </c>
      <c r="N49" s="33">
        <v>0.3</v>
      </c>
      <c r="O49" s="34">
        <f t="shared" si="47"/>
        <v>0</v>
      </c>
      <c r="Q49" s="31">
        <f t="shared" si="57"/>
        <v>287.41722058020252</v>
      </c>
      <c r="R49" s="32">
        <f t="shared" si="48"/>
        <v>0.98109999999999986</v>
      </c>
      <c r="S49" s="33">
        <v>0.3</v>
      </c>
      <c r="T49" s="34">
        <f t="shared" si="49"/>
        <v>0</v>
      </c>
      <c r="V49" s="31">
        <f t="shared" si="58"/>
        <v>289.34400942867501</v>
      </c>
      <c r="W49" s="32">
        <f t="shared" si="50"/>
        <v>0.98110000000000008</v>
      </c>
      <c r="X49" s="33">
        <v>0.3</v>
      </c>
      <c r="Y49" s="34">
        <f t="shared" si="51"/>
        <v>0.03</v>
      </c>
      <c r="AA49" s="31">
        <f t="shared" si="59"/>
        <v>290.88499706932964</v>
      </c>
      <c r="AB49" s="32">
        <f t="shared" si="52"/>
        <v>0.98109999999999997</v>
      </c>
      <c r="AC49" s="33">
        <v>0.3</v>
      </c>
      <c r="AD49" s="34">
        <f t="shared" si="53"/>
        <v>0.03</v>
      </c>
      <c r="AF49" s="31">
        <f t="shared" si="60"/>
        <v>297.00204255277822</v>
      </c>
      <c r="AG49" s="32">
        <f t="shared" si="54"/>
        <v>1.0017316358157895</v>
      </c>
      <c r="AH49" s="33">
        <v>0.3</v>
      </c>
      <c r="AI49" s="34">
        <f t="shared" si="55"/>
        <v>0</v>
      </c>
    </row>
    <row r="50" spans="12:35" x14ac:dyDescent="0.25">
      <c r="L50" s="31">
        <f t="shared" si="56"/>
        <v>283.36391400000002</v>
      </c>
      <c r="M50" s="32">
        <f t="shared" si="46"/>
        <v>0.98380000000000012</v>
      </c>
      <c r="N50" s="33">
        <v>0.4</v>
      </c>
      <c r="O50" s="34">
        <f t="shared" si="47"/>
        <v>0</v>
      </c>
      <c r="Q50" s="31">
        <f t="shared" si="57"/>
        <v>288.20819652105109</v>
      </c>
      <c r="R50" s="32">
        <f t="shared" si="48"/>
        <v>0.98379999999999979</v>
      </c>
      <c r="S50" s="33">
        <v>0.4</v>
      </c>
      <c r="T50" s="34">
        <f t="shared" si="49"/>
        <v>0</v>
      </c>
      <c r="V50" s="31">
        <f t="shared" si="58"/>
        <v>290.14028791757261</v>
      </c>
      <c r="W50" s="32">
        <f t="shared" si="50"/>
        <v>0.98380000000000012</v>
      </c>
      <c r="X50" s="33">
        <v>0.4</v>
      </c>
      <c r="Y50" s="34">
        <f t="shared" si="51"/>
        <v>4.0000000000000008E-2</v>
      </c>
      <c r="AA50" s="31">
        <f t="shared" si="59"/>
        <v>291.6855163763189</v>
      </c>
      <c r="AB50" s="32">
        <f t="shared" si="52"/>
        <v>0.98379999999999979</v>
      </c>
      <c r="AC50" s="33">
        <v>0.4</v>
      </c>
      <c r="AD50" s="34">
        <f t="shared" si="53"/>
        <v>4.0000000000000008E-2</v>
      </c>
      <c r="AF50" s="31">
        <f t="shared" si="60"/>
        <v>297.17317933095273</v>
      </c>
      <c r="AG50" s="32">
        <f t="shared" si="54"/>
        <v>1.0023088477543858</v>
      </c>
      <c r="AH50" s="33">
        <v>0.4</v>
      </c>
      <c r="AI50" s="34">
        <f t="shared" si="55"/>
        <v>0</v>
      </c>
    </row>
    <row r="51" spans="12:35" x14ac:dyDescent="0.25">
      <c r="L51" s="31">
        <f t="shared" si="56"/>
        <v>284.14159500000005</v>
      </c>
      <c r="M51" s="32">
        <f t="shared" si="46"/>
        <v>0.98650000000000027</v>
      </c>
      <c r="N51" s="33">
        <v>0.5</v>
      </c>
      <c r="O51" s="34">
        <f t="shared" si="47"/>
        <v>0</v>
      </c>
      <c r="Q51" s="31">
        <f t="shared" si="57"/>
        <v>288.99917246189966</v>
      </c>
      <c r="R51" s="32">
        <f t="shared" si="48"/>
        <v>0.98649999999999971</v>
      </c>
      <c r="S51" s="33">
        <v>0.5</v>
      </c>
      <c r="T51" s="34">
        <f t="shared" si="49"/>
        <v>0</v>
      </c>
      <c r="V51" s="31">
        <f t="shared" si="58"/>
        <v>290.93656640647021</v>
      </c>
      <c r="W51" s="32">
        <f t="shared" si="50"/>
        <v>0.98650000000000015</v>
      </c>
      <c r="X51" s="33">
        <v>0.5</v>
      </c>
      <c r="Y51" s="34">
        <f t="shared" si="51"/>
        <v>0.05</v>
      </c>
      <c r="AA51" s="31">
        <f t="shared" si="59"/>
        <v>292.48603568330816</v>
      </c>
      <c r="AB51" s="32">
        <f t="shared" si="52"/>
        <v>0.98649999999999971</v>
      </c>
      <c r="AC51" s="33">
        <v>0.5</v>
      </c>
      <c r="AD51" s="34">
        <f t="shared" si="53"/>
        <v>0.05</v>
      </c>
      <c r="AF51" s="31">
        <f t="shared" si="60"/>
        <v>297.34431610912725</v>
      </c>
      <c r="AG51" s="32">
        <f t="shared" si="54"/>
        <v>1.0028860596929823</v>
      </c>
      <c r="AH51" s="33">
        <v>0.5</v>
      </c>
      <c r="AI51" s="34">
        <f t="shared" si="55"/>
        <v>0</v>
      </c>
    </row>
    <row r="52" spans="12:35" x14ac:dyDescent="0.25">
      <c r="L52" s="31">
        <f t="shared" si="56"/>
        <v>284.91927600000008</v>
      </c>
      <c r="M52" s="32">
        <f t="shared" si="46"/>
        <v>0.98920000000000041</v>
      </c>
      <c r="N52" s="33">
        <v>0.6</v>
      </c>
      <c r="O52" s="34">
        <f t="shared" si="47"/>
        <v>0</v>
      </c>
      <c r="Q52" s="31">
        <f t="shared" si="57"/>
        <v>289.79014840274823</v>
      </c>
      <c r="R52" s="32">
        <f t="shared" si="48"/>
        <v>0.98919999999999964</v>
      </c>
      <c r="S52" s="33">
        <v>0.6</v>
      </c>
      <c r="T52" s="34">
        <f t="shared" si="49"/>
        <v>0</v>
      </c>
      <c r="V52" s="31">
        <f t="shared" si="58"/>
        <v>291.7328448953678</v>
      </c>
      <c r="W52" s="32">
        <f t="shared" si="50"/>
        <v>0.98920000000000019</v>
      </c>
      <c r="X52" s="33">
        <v>0.6</v>
      </c>
      <c r="Y52" s="34">
        <f t="shared" si="51"/>
        <v>0.06</v>
      </c>
      <c r="AA52" s="31">
        <f t="shared" si="59"/>
        <v>293.28655499029742</v>
      </c>
      <c r="AB52" s="32">
        <f t="shared" si="52"/>
        <v>0.98919999999999964</v>
      </c>
      <c r="AC52" s="33">
        <v>0.6</v>
      </c>
      <c r="AD52" s="34">
        <f t="shared" si="53"/>
        <v>0.06</v>
      </c>
      <c r="AF52" s="31">
        <f t="shared" si="60"/>
        <v>297.51545288730176</v>
      </c>
      <c r="AG52" s="32">
        <f t="shared" si="54"/>
        <v>1.0034632716315788</v>
      </c>
      <c r="AH52" s="33">
        <v>0.6</v>
      </c>
      <c r="AI52" s="34">
        <f t="shared" si="55"/>
        <v>0</v>
      </c>
    </row>
    <row r="53" spans="12:35" x14ac:dyDescent="0.25">
      <c r="L53" s="31">
        <f t="shared" si="56"/>
        <v>285.69695700000011</v>
      </c>
      <c r="M53" s="32">
        <f t="shared" si="46"/>
        <v>0.99190000000000045</v>
      </c>
      <c r="N53" s="33">
        <v>0.7</v>
      </c>
      <c r="O53" s="34">
        <f t="shared" si="47"/>
        <v>0</v>
      </c>
      <c r="Q53" s="31">
        <f t="shared" si="57"/>
        <v>290.5811243435968</v>
      </c>
      <c r="R53" s="32">
        <f t="shared" si="48"/>
        <v>0.99189999999999956</v>
      </c>
      <c r="S53" s="33">
        <v>0.7</v>
      </c>
      <c r="T53" s="34">
        <f t="shared" si="49"/>
        <v>0</v>
      </c>
      <c r="V53" s="31">
        <f t="shared" si="58"/>
        <v>292.5291233842654</v>
      </c>
      <c r="W53" s="32">
        <f t="shared" si="50"/>
        <v>0.99190000000000023</v>
      </c>
      <c r="X53" s="33">
        <v>0.7</v>
      </c>
      <c r="Y53" s="34">
        <f t="shared" si="51"/>
        <v>6.9999999999999993E-2</v>
      </c>
      <c r="AA53" s="31">
        <f t="shared" si="59"/>
        <v>294.08707429728668</v>
      </c>
      <c r="AB53" s="32">
        <f t="shared" si="52"/>
        <v>0.99189999999999956</v>
      </c>
      <c r="AC53" s="33">
        <v>0.7</v>
      </c>
      <c r="AD53" s="34">
        <f t="shared" si="53"/>
        <v>6.9999999999999993E-2</v>
      </c>
      <c r="AF53" s="31">
        <f t="shared" si="60"/>
        <v>297.68658966547628</v>
      </c>
      <c r="AG53" s="32">
        <f t="shared" si="54"/>
        <v>1.0040404835701753</v>
      </c>
      <c r="AH53" s="33">
        <v>0.7</v>
      </c>
      <c r="AI53" s="34">
        <f t="shared" si="55"/>
        <v>0</v>
      </c>
    </row>
    <row r="54" spans="12:35" x14ac:dyDescent="0.25">
      <c r="L54" s="31">
        <f t="shared" si="56"/>
        <v>286.47463800000014</v>
      </c>
      <c r="M54" s="32">
        <f t="shared" si="46"/>
        <v>0.99460000000000059</v>
      </c>
      <c r="N54" s="33">
        <v>0.8</v>
      </c>
      <c r="O54" s="34">
        <f t="shared" si="47"/>
        <v>0</v>
      </c>
      <c r="Q54" s="31">
        <f t="shared" si="57"/>
        <v>291.37210028444537</v>
      </c>
      <c r="R54" s="32">
        <f t="shared" si="48"/>
        <v>0.99459999999999948</v>
      </c>
      <c r="S54" s="33">
        <v>0.8</v>
      </c>
      <c r="T54" s="34">
        <f t="shared" si="49"/>
        <v>0</v>
      </c>
      <c r="V54" s="31">
        <f t="shared" si="58"/>
        <v>293.325401873163</v>
      </c>
      <c r="W54" s="32">
        <f t="shared" si="50"/>
        <v>0.99460000000000026</v>
      </c>
      <c r="X54" s="33">
        <v>0.8</v>
      </c>
      <c r="Y54" s="34">
        <f t="shared" si="51"/>
        <v>8.0000000000000016E-2</v>
      </c>
      <c r="AA54" s="31">
        <f t="shared" si="59"/>
        <v>294.88759360427593</v>
      </c>
      <c r="AB54" s="32">
        <f t="shared" si="52"/>
        <v>0.99459999999999948</v>
      </c>
      <c r="AC54" s="33">
        <v>0.8</v>
      </c>
      <c r="AD54" s="34">
        <f t="shared" si="53"/>
        <v>8.0000000000000016E-2</v>
      </c>
      <c r="AF54" s="31">
        <f t="shared" si="60"/>
        <v>297.85772644365079</v>
      </c>
      <c r="AG54" s="32">
        <f t="shared" si="54"/>
        <v>1.0046176955087718</v>
      </c>
      <c r="AH54" s="33">
        <v>0.8</v>
      </c>
      <c r="AI54" s="34">
        <f t="shared" si="55"/>
        <v>0</v>
      </c>
    </row>
    <row r="55" spans="12:35" x14ac:dyDescent="0.25">
      <c r="L55" s="31">
        <f t="shared" si="56"/>
        <v>287.25231900000017</v>
      </c>
      <c r="M55" s="32">
        <f t="shared" si="46"/>
        <v>0.99730000000000074</v>
      </c>
      <c r="N55" s="33">
        <v>0.9</v>
      </c>
      <c r="O55" s="34">
        <f t="shared" si="47"/>
        <v>0</v>
      </c>
      <c r="Q55" s="31">
        <f t="shared" si="57"/>
        <v>292.16307622529393</v>
      </c>
      <c r="R55" s="32">
        <f t="shared" si="48"/>
        <v>0.99729999999999952</v>
      </c>
      <c r="S55" s="33">
        <v>0.9</v>
      </c>
      <c r="T55" s="34">
        <f t="shared" si="49"/>
        <v>0</v>
      </c>
      <c r="V55" s="31">
        <f t="shared" si="58"/>
        <v>294.1216803620606</v>
      </c>
      <c r="W55" s="32">
        <f t="shared" si="50"/>
        <v>0.9973000000000003</v>
      </c>
      <c r="X55" s="33">
        <v>0.9</v>
      </c>
      <c r="Y55" s="34">
        <f t="shared" si="51"/>
        <v>9.0000000000000011E-2</v>
      </c>
      <c r="AA55" s="31">
        <f t="shared" si="59"/>
        <v>295.68811291126519</v>
      </c>
      <c r="AB55" s="32">
        <f t="shared" si="52"/>
        <v>0.9972999999999993</v>
      </c>
      <c r="AC55" s="33">
        <v>0.9</v>
      </c>
      <c r="AD55" s="34">
        <f t="shared" si="53"/>
        <v>9.0000000000000011E-2</v>
      </c>
      <c r="AF55" s="31">
        <f t="shared" si="60"/>
        <v>298.0288632218253</v>
      </c>
      <c r="AG55" s="32">
        <f t="shared" si="54"/>
        <v>1.0051949074473683</v>
      </c>
      <c r="AH55" s="33">
        <v>0.9</v>
      </c>
      <c r="AI55" s="34">
        <f t="shared" si="55"/>
        <v>0</v>
      </c>
    </row>
    <row r="56" spans="12:35" x14ac:dyDescent="0.25">
      <c r="L56" s="78">
        <f>$AM$6</f>
        <v>288.02999999999997</v>
      </c>
      <c r="M56" s="40">
        <f t="shared" si="46"/>
        <v>1</v>
      </c>
      <c r="N56" s="41">
        <v>1</v>
      </c>
      <c r="O56" s="41">
        <f>$C$6</f>
        <v>0</v>
      </c>
      <c r="Q56" s="78">
        <f>$AN$6</f>
        <v>292.95405216614267</v>
      </c>
      <c r="R56" s="40">
        <f t="shared" si="48"/>
        <v>1</v>
      </c>
      <c r="S56" s="41">
        <v>1</v>
      </c>
      <c r="T56" s="41">
        <f>$D$6</f>
        <v>0</v>
      </c>
      <c r="V56" s="78">
        <f>$AO$6</f>
        <v>294.91795885095809</v>
      </c>
      <c r="W56" s="40">
        <f t="shared" si="50"/>
        <v>1</v>
      </c>
      <c r="X56" s="41">
        <v>1</v>
      </c>
      <c r="Y56" s="41">
        <f>$E$6</f>
        <v>0.1</v>
      </c>
      <c r="AA56" s="78">
        <f>$AP$6</f>
        <v>296.48863221825468</v>
      </c>
      <c r="AB56" s="40">
        <f t="shared" si="52"/>
        <v>1</v>
      </c>
      <c r="AC56" s="41">
        <v>1</v>
      </c>
      <c r="AD56" s="41">
        <f>$F$6</f>
        <v>0.1</v>
      </c>
      <c r="AF56" s="78">
        <f>$AQ$6</f>
        <v>298.2</v>
      </c>
      <c r="AG56" s="42">
        <f t="shared" si="54"/>
        <v>1.0057721193859652</v>
      </c>
      <c r="AH56" s="41">
        <v>1</v>
      </c>
      <c r="AI56" s="41">
        <f>$G$6</f>
        <v>0</v>
      </c>
    </row>
    <row r="58" spans="12:35" x14ac:dyDescent="0.25">
      <c r="L58" s="7" t="str">
        <f>$A$7</f>
        <v>KPI 5</v>
      </c>
      <c r="M58" s="8" t="str">
        <f>VLOOKUP(L58,$A$3:$B$8,2,0)</f>
        <v>Earnings</v>
      </c>
      <c r="N58" s="8"/>
      <c r="O58" s="9" t="str">
        <f>$C$2</f>
        <v>Q1</v>
      </c>
      <c r="Q58" s="7" t="str">
        <f>$A$7</f>
        <v>KPI 5</v>
      </c>
      <c r="R58" s="8" t="str">
        <f>VLOOKUP(Q58,$A$3:$B$8,2,0)</f>
        <v>Earnings</v>
      </c>
      <c r="S58" s="8"/>
      <c r="T58" s="9" t="str">
        <f>$D$2</f>
        <v>Q2</v>
      </c>
      <c r="V58" s="7" t="str">
        <f>$A$7</f>
        <v>KPI 5</v>
      </c>
      <c r="W58" s="8" t="str">
        <f>VLOOKUP(V58,$A$3:$B$8,2,0)</f>
        <v>Earnings</v>
      </c>
      <c r="X58" s="8"/>
      <c r="Y58" s="9" t="str">
        <f>$E$2</f>
        <v>Q3</v>
      </c>
      <c r="AA58" s="7" t="str">
        <f>$A$7</f>
        <v>KPI 5</v>
      </c>
      <c r="AB58" s="8" t="str">
        <f>VLOOKUP(AA58,$A$3:$B$8,2,0)</f>
        <v>Earnings</v>
      </c>
      <c r="AC58" s="8"/>
      <c r="AD58" s="9" t="str">
        <f>$F$2</f>
        <v>Q4</v>
      </c>
      <c r="AF58" s="7" t="str">
        <f>$A$7</f>
        <v>KPI 5</v>
      </c>
      <c r="AG58" s="8" t="str">
        <f>VLOOKUP(AF58,$A$3:$B$8,2,0)</f>
        <v>Earnings</v>
      </c>
      <c r="AH58" s="8"/>
      <c r="AI58" s="10" t="str">
        <f>$G$2</f>
        <v>FY (200%)</v>
      </c>
    </row>
    <row r="59" spans="12:35" x14ac:dyDescent="0.25">
      <c r="L59" s="75" t="s">
        <v>25</v>
      </c>
      <c r="M59" s="76" t="s">
        <v>9</v>
      </c>
      <c r="N59" s="77" t="s">
        <v>10</v>
      </c>
      <c r="O59" s="21" t="s">
        <v>11</v>
      </c>
      <c r="Q59" s="75" t="s">
        <v>25</v>
      </c>
      <c r="R59" s="76" t="s">
        <v>9</v>
      </c>
      <c r="S59" s="77" t="s">
        <v>10</v>
      </c>
      <c r="T59" s="21" t="s">
        <v>11</v>
      </c>
      <c r="V59" s="75" t="s">
        <v>25</v>
      </c>
      <c r="W59" s="76" t="s">
        <v>9</v>
      </c>
      <c r="X59" s="77" t="s">
        <v>10</v>
      </c>
      <c r="Y59" s="21" t="s">
        <v>11</v>
      </c>
      <c r="AA59" s="75" t="s">
        <v>25</v>
      </c>
      <c r="AB59" s="76" t="s">
        <v>9</v>
      </c>
      <c r="AC59" s="77" t="s">
        <v>10</v>
      </c>
      <c r="AD59" s="21" t="s">
        <v>11</v>
      </c>
      <c r="AF59" s="75" t="s">
        <v>25</v>
      </c>
      <c r="AG59" s="76" t="s">
        <v>9</v>
      </c>
      <c r="AH59" s="77" t="s">
        <v>10</v>
      </c>
      <c r="AI59" s="21" t="s">
        <v>11</v>
      </c>
    </row>
    <row r="60" spans="12:35" x14ac:dyDescent="0.25">
      <c r="L60" s="27">
        <f>L70*0.973</f>
        <v>0</v>
      </c>
      <c r="M60" s="79">
        <v>0.97299999999999998</v>
      </c>
      <c r="N60" s="29">
        <v>0</v>
      </c>
      <c r="O60" s="30">
        <f t="shared" ref="O60:O69" si="61">O$70*N60</f>
        <v>0</v>
      </c>
      <c r="Q60" s="27">
        <f>Q70*0.973</f>
        <v>0</v>
      </c>
      <c r="R60" s="79">
        <v>0.97299999999999998</v>
      </c>
      <c r="S60" s="29">
        <v>0</v>
      </c>
      <c r="T60" s="30">
        <f t="shared" ref="T60:T69" si="62">T$70*S60</f>
        <v>0</v>
      </c>
      <c r="V60" s="27">
        <f>V70*0.973</f>
        <v>0</v>
      </c>
      <c r="W60" s="79">
        <v>0.97299999999999998</v>
      </c>
      <c r="X60" s="29">
        <v>0</v>
      </c>
      <c r="Y60" s="30">
        <f t="shared" ref="Y60:Y69" si="63">Y$70*X60</f>
        <v>0</v>
      </c>
      <c r="AA60" s="27">
        <f>AA70*0.973</f>
        <v>36.138192999999994</v>
      </c>
      <c r="AB60" s="28">
        <f t="shared" ref="AB60:AB70" si="64">AA60/AA$60</f>
        <v>1</v>
      </c>
      <c r="AC60" s="29">
        <v>0</v>
      </c>
      <c r="AD60" s="30">
        <f t="shared" ref="AD60:AD69" si="65">AD$70*AC60</f>
        <v>0</v>
      </c>
      <c r="AF60" s="27">
        <f>AA70</f>
        <v>37.140999999999998</v>
      </c>
      <c r="AG60" s="28">
        <f t="shared" ref="AG60:AG70" si="66">AF60/$AF$60</f>
        <v>1</v>
      </c>
      <c r="AH60" s="29">
        <v>0</v>
      </c>
      <c r="AI60" s="30">
        <f t="shared" ref="AI60:AI69" si="67">AI$70*AH60</f>
        <v>0</v>
      </c>
    </row>
    <row r="61" spans="12:35" x14ac:dyDescent="0.25">
      <c r="L61" s="31">
        <f t="shared" ref="L61:L69" si="68">L60+(L$70-L$60)/10</f>
        <v>0</v>
      </c>
      <c r="M61" s="80">
        <v>0.97570000000000001</v>
      </c>
      <c r="N61" s="33">
        <v>0.1</v>
      </c>
      <c r="O61" s="34">
        <f t="shared" si="61"/>
        <v>0</v>
      </c>
      <c r="Q61" s="31">
        <f t="shared" ref="Q61:Q69" si="69">Q60+(Q$70-Q$60)/10</f>
        <v>0</v>
      </c>
      <c r="R61" s="80">
        <v>0.97570000000000001</v>
      </c>
      <c r="S61" s="33">
        <v>0.1</v>
      </c>
      <c r="T61" s="34">
        <f t="shared" si="62"/>
        <v>0</v>
      </c>
      <c r="V61" s="31">
        <f t="shared" ref="V61:V69" si="70">V60+(V$70-V$60)/10</f>
        <v>0</v>
      </c>
      <c r="W61" s="80">
        <v>0.97570000000000001</v>
      </c>
      <c r="X61" s="33">
        <v>0.1</v>
      </c>
      <c r="Y61" s="34">
        <f t="shared" si="63"/>
        <v>0</v>
      </c>
      <c r="AA61" s="31">
        <f t="shared" ref="AA61:AA69" si="71">AA60+(AA$70-AA$60)/10</f>
        <v>36.238473699999993</v>
      </c>
      <c r="AB61" s="80">
        <f t="shared" si="64"/>
        <v>1.0027749229188079</v>
      </c>
      <c r="AC61" s="33">
        <v>0.1</v>
      </c>
      <c r="AD61" s="34">
        <f t="shared" si="65"/>
        <v>0</v>
      </c>
      <c r="AF61" s="31">
        <f t="shared" ref="AF61:AF69" si="72">AF60+(AF$70-AF$60)/10</f>
        <v>37.5124</v>
      </c>
      <c r="AG61" s="32">
        <f t="shared" si="66"/>
        <v>1.0099997307557687</v>
      </c>
      <c r="AH61" s="33">
        <v>0.1</v>
      </c>
      <c r="AI61" s="34">
        <f t="shared" si="67"/>
        <v>1.0000000000000002E-2</v>
      </c>
    </row>
    <row r="62" spans="12:35" x14ac:dyDescent="0.25">
      <c r="L62" s="31">
        <f t="shared" si="68"/>
        <v>0</v>
      </c>
      <c r="M62" s="80">
        <v>0.97840000000000005</v>
      </c>
      <c r="N62" s="33">
        <v>0.2</v>
      </c>
      <c r="O62" s="34">
        <f t="shared" si="61"/>
        <v>0</v>
      </c>
      <c r="Q62" s="31">
        <f t="shared" si="69"/>
        <v>0</v>
      </c>
      <c r="R62" s="80">
        <v>0.97840000000000005</v>
      </c>
      <c r="S62" s="33">
        <v>0.2</v>
      </c>
      <c r="T62" s="34">
        <f t="shared" si="62"/>
        <v>0</v>
      </c>
      <c r="V62" s="31">
        <f t="shared" si="70"/>
        <v>0</v>
      </c>
      <c r="W62" s="80">
        <v>0.97840000000000005</v>
      </c>
      <c r="X62" s="33">
        <v>0.2</v>
      </c>
      <c r="Y62" s="34">
        <f t="shared" si="63"/>
        <v>0</v>
      </c>
      <c r="AA62" s="31">
        <f t="shared" si="71"/>
        <v>36.338754399999992</v>
      </c>
      <c r="AB62" s="80">
        <f t="shared" si="64"/>
        <v>1.0055498458376155</v>
      </c>
      <c r="AC62" s="33">
        <v>0.2</v>
      </c>
      <c r="AD62" s="34">
        <f t="shared" si="65"/>
        <v>0</v>
      </c>
      <c r="AF62" s="31">
        <f t="shared" si="72"/>
        <v>37.883800000000001</v>
      </c>
      <c r="AG62" s="32">
        <f t="shared" si="66"/>
        <v>1.0199994615115371</v>
      </c>
      <c r="AH62" s="33">
        <v>0.2</v>
      </c>
      <c r="AI62" s="34">
        <f t="shared" si="67"/>
        <v>2.0000000000000004E-2</v>
      </c>
    </row>
    <row r="63" spans="12:35" x14ac:dyDescent="0.25">
      <c r="L63" s="31">
        <f t="shared" si="68"/>
        <v>0</v>
      </c>
      <c r="M63" s="80">
        <v>0.98109999999999997</v>
      </c>
      <c r="N63" s="33">
        <v>0.3</v>
      </c>
      <c r="O63" s="34">
        <f t="shared" si="61"/>
        <v>0</v>
      </c>
      <c r="Q63" s="31">
        <f t="shared" si="69"/>
        <v>0</v>
      </c>
      <c r="R63" s="80">
        <v>0.98109999999999997</v>
      </c>
      <c r="S63" s="33">
        <v>0.3</v>
      </c>
      <c r="T63" s="34">
        <f t="shared" si="62"/>
        <v>0</v>
      </c>
      <c r="V63" s="31">
        <f t="shared" si="70"/>
        <v>0</v>
      </c>
      <c r="W63" s="80">
        <v>0.98109999999999997</v>
      </c>
      <c r="X63" s="33">
        <v>0.3</v>
      </c>
      <c r="Y63" s="34">
        <f t="shared" si="63"/>
        <v>0</v>
      </c>
      <c r="AA63" s="31">
        <f t="shared" si="71"/>
        <v>36.439035099999991</v>
      </c>
      <c r="AB63" s="80">
        <f t="shared" si="64"/>
        <v>1.0083247687564234</v>
      </c>
      <c r="AC63" s="33">
        <v>0.3</v>
      </c>
      <c r="AD63" s="34">
        <f t="shared" si="65"/>
        <v>0</v>
      </c>
      <c r="AF63" s="31">
        <f t="shared" si="72"/>
        <v>38.255200000000002</v>
      </c>
      <c r="AG63" s="32">
        <f t="shared" si="66"/>
        <v>1.0299991922673057</v>
      </c>
      <c r="AH63" s="33">
        <v>0.3</v>
      </c>
      <c r="AI63" s="34">
        <f t="shared" si="67"/>
        <v>0.03</v>
      </c>
    </row>
    <row r="64" spans="12:35" x14ac:dyDescent="0.25">
      <c r="L64" s="31">
        <f t="shared" si="68"/>
        <v>0</v>
      </c>
      <c r="M64" s="80">
        <v>0.98380000000000001</v>
      </c>
      <c r="N64" s="33">
        <v>0.4</v>
      </c>
      <c r="O64" s="34">
        <f t="shared" si="61"/>
        <v>0</v>
      </c>
      <c r="Q64" s="31">
        <f t="shared" si="69"/>
        <v>0</v>
      </c>
      <c r="R64" s="80">
        <v>0.98380000000000001</v>
      </c>
      <c r="S64" s="33">
        <v>0.4</v>
      </c>
      <c r="T64" s="34">
        <f t="shared" si="62"/>
        <v>0</v>
      </c>
      <c r="V64" s="31">
        <f t="shared" si="70"/>
        <v>0</v>
      </c>
      <c r="W64" s="80">
        <v>0.98380000000000001</v>
      </c>
      <c r="X64" s="33">
        <v>0.4</v>
      </c>
      <c r="Y64" s="34">
        <f t="shared" si="63"/>
        <v>0</v>
      </c>
      <c r="AA64" s="31">
        <f t="shared" si="71"/>
        <v>36.53931579999999</v>
      </c>
      <c r="AB64" s="80">
        <f t="shared" si="64"/>
        <v>1.0110996916752311</v>
      </c>
      <c r="AC64" s="33">
        <v>0.4</v>
      </c>
      <c r="AD64" s="34">
        <f t="shared" si="65"/>
        <v>0</v>
      </c>
      <c r="AF64" s="31">
        <f t="shared" si="72"/>
        <v>38.626600000000003</v>
      </c>
      <c r="AG64" s="32">
        <f t="shared" si="66"/>
        <v>1.0399989230230744</v>
      </c>
      <c r="AH64" s="33">
        <v>0.4</v>
      </c>
      <c r="AI64" s="34">
        <f t="shared" si="67"/>
        <v>4.0000000000000008E-2</v>
      </c>
    </row>
    <row r="65" spans="12:35" x14ac:dyDescent="0.25">
      <c r="L65" s="31">
        <f t="shared" si="68"/>
        <v>0</v>
      </c>
      <c r="M65" s="80">
        <v>0.98650000000000004</v>
      </c>
      <c r="N65" s="33">
        <v>0.5</v>
      </c>
      <c r="O65" s="34">
        <f t="shared" si="61"/>
        <v>0</v>
      </c>
      <c r="Q65" s="31">
        <f t="shared" si="69"/>
        <v>0</v>
      </c>
      <c r="R65" s="80">
        <v>0.98650000000000004</v>
      </c>
      <c r="S65" s="33">
        <v>0.5</v>
      </c>
      <c r="T65" s="34">
        <f t="shared" si="62"/>
        <v>0</v>
      </c>
      <c r="V65" s="31">
        <f t="shared" si="70"/>
        <v>0</v>
      </c>
      <c r="W65" s="80">
        <v>0.98650000000000004</v>
      </c>
      <c r="X65" s="33">
        <v>0.5</v>
      </c>
      <c r="Y65" s="34">
        <f t="shared" si="63"/>
        <v>0</v>
      </c>
      <c r="AA65" s="31">
        <f t="shared" si="71"/>
        <v>36.639596499999989</v>
      </c>
      <c r="AB65" s="80">
        <f t="shared" si="64"/>
        <v>1.0138746145940389</v>
      </c>
      <c r="AC65" s="33">
        <v>0.5</v>
      </c>
      <c r="AD65" s="34">
        <f t="shared" si="65"/>
        <v>0</v>
      </c>
      <c r="AF65" s="31">
        <f t="shared" si="72"/>
        <v>38.998000000000005</v>
      </c>
      <c r="AG65" s="32">
        <f t="shared" si="66"/>
        <v>1.049998653778843</v>
      </c>
      <c r="AH65" s="33">
        <v>0.5</v>
      </c>
      <c r="AI65" s="34">
        <f t="shared" si="67"/>
        <v>0.05</v>
      </c>
    </row>
    <row r="66" spans="12:35" x14ac:dyDescent="0.25">
      <c r="L66" s="31">
        <f t="shared" si="68"/>
        <v>0</v>
      </c>
      <c r="M66" s="80">
        <v>0.98919999999999997</v>
      </c>
      <c r="N66" s="33">
        <v>0.6</v>
      </c>
      <c r="O66" s="34">
        <f t="shared" si="61"/>
        <v>0</v>
      </c>
      <c r="Q66" s="31">
        <f t="shared" si="69"/>
        <v>0</v>
      </c>
      <c r="R66" s="80">
        <v>0.98919999999999997</v>
      </c>
      <c r="S66" s="33">
        <v>0.6</v>
      </c>
      <c r="T66" s="34">
        <f t="shared" si="62"/>
        <v>0</v>
      </c>
      <c r="V66" s="31">
        <f t="shared" si="70"/>
        <v>0</v>
      </c>
      <c r="W66" s="80">
        <v>0.98919999999999997</v>
      </c>
      <c r="X66" s="33">
        <v>0.6</v>
      </c>
      <c r="Y66" s="34">
        <f t="shared" si="63"/>
        <v>0</v>
      </c>
      <c r="AA66" s="31">
        <f t="shared" si="71"/>
        <v>36.739877199999988</v>
      </c>
      <c r="AB66" s="80">
        <f t="shared" si="64"/>
        <v>1.0166495375128468</v>
      </c>
      <c r="AC66" s="33">
        <v>0.6</v>
      </c>
      <c r="AD66" s="34">
        <f t="shared" si="65"/>
        <v>0</v>
      </c>
      <c r="AF66" s="31">
        <f t="shared" si="72"/>
        <v>39.369400000000006</v>
      </c>
      <c r="AG66" s="32">
        <f t="shared" si="66"/>
        <v>1.0599983845346115</v>
      </c>
      <c r="AH66" s="33">
        <v>0.6</v>
      </c>
      <c r="AI66" s="34">
        <f t="shared" si="67"/>
        <v>0.06</v>
      </c>
    </row>
    <row r="67" spans="12:35" x14ac:dyDescent="0.25">
      <c r="L67" s="31">
        <f t="shared" si="68"/>
        <v>0</v>
      </c>
      <c r="M67" s="80">
        <v>0.9919</v>
      </c>
      <c r="N67" s="33">
        <v>0.7</v>
      </c>
      <c r="O67" s="34">
        <f t="shared" si="61"/>
        <v>0</v>
      </c>
      <c r="Q67" s="31">
        <f t="shared" si="69"/>
        <v>0</v>
      </c>
      <c r="R67" s="80">
        <v>0.9919</v>
      </c>
      <c r="S67" s="33">
        <v>0.7</v>
      </c>
      <c r="T67" s="34">
        <f t="shared" si="62"/>
        <v>0</v>
      </c>
      <c r="V67" s="31">
        <f t="shared" si="70"/>
        <v>0</v>
      </c>
      <c r="W67" s="80">
        <v>0.9919</v>
      </c>
      <c r="X67" s="33">
        <v>0.7</v>
      </c>
      <c r="Y67" s="34">
        <f t="shared" si="63"/>
        <v>0</v>
      </c>
      <c r="AA67" s="31">
        <f t="shared" si="71"/>
        <v>36.840157899999987</v>
      </c>
      <c r="AB67" s="80">
        <f t="shared" si="64"/>
        <v>1.0194244604316545</v>
      </c>
      <c r="AC67" s="33">
        <v>0.7</v>
      </c>
      <c r="AD67" s="34">
        <f t="shared" si="65"/>
        <v>0</v>
      </c>
      <c r="AF67" s="31">
        <f t="shared" si="72"/>
        <v>39.740800000000007</v>
      </c>
      <c r="AG67" s="32">
        <f t="shared" si="66"/>
        <v>1.0699981152903801</v>
      </c>
      <c r="AH67" s="33">
        <v>0.7</v>
      </c>
      <c r="AI67" s="34">
        <f t="shared" si="67"/>
        <v>6.9999999999999993E-2</v>
      </c>
    </row>
    <row r="68" spans="12:35" x14ac:dyDescent="0.25">
      <c r="L68" s="31">
        <f t="shared" si="68"/>
        <v>0</v>
      </c>
      <c r="M68" s="80">
        <v>0.99460000000000004</v>
      </c>
      <c r="N68" s="33">
        <v>0.8</v>
      </c>
      <c r="O68" s="34">
        <f t="shared" si="61"/>
        <v>0</v>
      </c>
      <c r="Q68" s="31">
        <f t="shared" si="69"/>
        <v>0</v>
      </c>
      <c r="R68" s="80">
        <v>0.99460000000000004</v>
      </c>
      <c r="S68" s="33">
        <v>0.8</v>
      </c>
      <c r="T68" s="34">
        <f t="shared" si="62"/>
        <v>0</v>
      </c>
      <c r="V68" s="31">
        <f t="shared" si="70"/>
        <v>0</v>
      </c>
      <c r="W68" s="80">
        <v>0.99460000000000004</v>
      </c>
      <c r="X68" s="33">
        <v>0.8</v>
      </c>
      <c r="Y68" s="34">
        <f t="shared" si="63"/>
        <v>0</v>
      </c>
      <c r="AA68" s="31">
        <f t="shared" si="71"/>
        <v>36.940438599999986</v>
      </c>
      <c r="AB68" s="80">
        <f t="shared" si="64"/>
        <v>1.0221993833504623</v>
      </c>
      <c r="AC68" s="33">
        <v>0.8</v>
      </c>
      <c r="AD68" s="34">
        <f t="shared" si="65"/>
        <v>0</v>
      </c>
      <c r="AF68" s="31">
        <f t="shared" si="72"/>
        <v>40.112200000000009</v>
      </c>
      <c r="AG68" s="32">
        <f t="shared" si="66"/>
        <v>1.0799978460461488</v>
      </c>
      <c r="AH68" s="33">
        <v>0.8</v>
      </c>
      <c r="AI68" s="34">
        <f t="shared" si="67"/>
        <v>8.0000000000000016E-2</v>
      </c>
    </row>
    <row r="69" spans="12:35" x14ac:dyDescent="0.25">
      <c r="L69" s="31">
        <f t="shared" si="68"/>
        <v>0</v>
      </c>
      <c r="M69" s="80">
        <v>0.99729999999999996</v>
      </c>
      <c r="N69" s="33">
        <v>0.9</v>
      </c>
      <c r="O69" s="34">
        <f t="shared" si="61"/>
        <v>0</v>
      </c>
      <c r="Q69" s="31">
        <f t="shared" si="69"/>
        <v>0</v>
      </c>
      <c r="R69" s="80">
        <v>0.99729999999999996</v>
      </c>
      <c r="S69" s="33">
        <v>0.9</v>
      </c>
      <c r="T69" s="34">
        <f t="shared" si="62"/>
        <v>0</v>
      </c>
      <c r="V69" s="31">
        <f t="shared" si="70"/>
        <v>0</v>
      </c>
      <c r="W69" s="80">
        <v>0.99729999999999996</v>
      </c>
      <c r="X69" s="33">
        <v>0.9</v>
      </c>
      <c r="Y69" s="34">
        <f t="shared" si="63"/>
        <v>0</v>
      </c>
      <c r="AA69" s="31">
        <f t="shared" si="71"/>
        <v>37.040719299999985</v>
      </c>
      <c r="AB69" s="80">
        <f t="shared" si="64"/>
        <v>1.02497430626927</v>
      </c>
      <c r="AC69" s="33">
        <v>0.9</v>
      </c>
      <c r="AD69" s="34">
        <f t="shared" si="65"/>
        <v>0</v>
      </c>
      <c r="AF69" s="31">
        <f t="shared" si="72"/>
        <v>40.48360000000001</v>
      </c>
      <c r="AG69" s="32">
        <f t="shared" si="66"/>
        <v>1.0899975768019174</v>
      </c>
      <c r="AH69" s="33">
        <v>0.9</v>
      </c>
      <c r="AI69" s="34">
        <f t="shared" si="67"/>
        <v>9.0000000000000011E-2</v>
      </c>
    </row>
    <row r="70" spans="12:35" x14ac:dyDescent="0.25">
      <c r="L70" s="78">
        <f>$AM$7</f>
        <v>0</v>
      </c>
      <c r="M70" s="41">
        <v>1</v>
      </c>
      <c r="N70" s="41">
        <v>1</v>
      </c>
      <c r="O70" s="41">
        <f>$C$7</f>
        <v>0</v>
      </c>
      <c r="Q70" s="78">
        <f>$AN$7</f>
        <v>0</v>
      </c>
      <c r="R70" s="41">
        <v>1</v>
      </c>
      <c r="S70" s="41">
        <v>1</v>
      </c>
      <c r="T70" s="41">
        <f>$D$7</f>
        <v>0</v>
      </c>
      <c r="V70" s="78">
        <f>$AO$7</f>
        <v>0</v>
      </c>
      <c r="W70" s="41">
        <v>1</v>
      </c>
      <c r="X70" s="41">
        <v>1</v>
      </c>
      <c r="Y70" s="41">
        <f>$E$7</f>
        <v>0</v>
      </c>
      <c r="AA70" s="78">
        <f>$AP$7</f>
        <v>37.140999999999998</v>
      </c>
      <c r="AB70" s="41">
        <f t="shared" si="64"/>
        <v>1.0277492291880783</v>
      </c>
      <c r="AC70" s="41">
        <v>1</v>
      </c>
      <c r="AD70" s="41">
        <f>$F$7</f>
        <v>0</v>
      </c>
      <c r="AF70" s="78">
        <f>$AQ$7</f>
        <v>40.854999999999997</v>
      </c>
      <c r="AG70" s="81">
        <f t="shared" si="66"/>
        <v>1.0999973075576857</v>
      </c>
      <c r="AH70" s="41">
        <v>1</v>
      </c>
      <c r="AI70" s="41">
        <f>$G$7</f>
        <v>0.1</v>
      </c>
    </row>
    <row r="72" spans="12:35" x14ac:dyDescent="0.25">
      <c r="L72" s="7" t="str">
        <f>$A$8</f>
        <v>KPI 6</v>
      </c>
      <c r="M72" s="8" t="str">
        <f>VLOOKUP(L72,$A$3:$B$8,2,0)</f>
        <v>NSV Prem+ Total</v>
      </c>
      <c r="N72" s="8"/>
      <c r="O72" s="9" t="str">
        <f>$C$2</f>
        <v>Q1</v>
      </c>
      <c r="Q72" s="7" t="str">
        <f>$A$8</f>
        <v>KPI 6</v>
      </c>
      <c r="R72" s="8" t="str">
        <f>VLOOKUP(Q72,$A$3:$B$8,2,0)</f>
        <v>NSV Prem+ Total</v>
      </c>
      <c r="S72" s="8"/>
      <c r="T72" s="9" t="str">
        <f>$D$2</f>
        <v>Q2</v>
      </c>
      <c r="V72" s="7" t="str">
        <f>$A$8</f>
        <v>KPI 6</v>
      </c>
      <c r="W72" s="8" t="str">
        <f>VLOOKUP(V72,$A$3:$B$8,2,0)</f>
        <v>NSV Prem+ Total</v>
      </c>
      <c r="X72" s="8"/>
      <c r="Y72" s="9" t="str">
        <f>$E$2</f>
        <v>Q3</v>
      </c>
      <c r="AA72" s="7" t="str">
        <f>$A$8</f>
        <v>KPI 6</v>
      </c>
      <c r="AB72" s="8" t="str">
        <f>VLOOKUP(AA72,$A$3:$B$8,2,0)</f>
        <v>NSV Prem+ Total</v>
      </c>
      <c r="AC72" s="8"/>
      <c r="AD72" s="9" t="str">
        <f>$F$2</f>
        <v>Q4</v>
      </c>
      <c r="AF72" s="7" t="str">
        <f>$A$8</f>
        <v>KPI 6</v>
      </c>
      <c r="AG72" s="8" t="str">
        <f>VLOOKUP(AF72,$A$3:$B$8,2,0)</f>
        <v>NSV Prem+ Total</v>
      </c>
      <c r="AH72" s="8"/>
      <c r="AI72" s="10" t="str">
        <f>$G$2</f>
        <v>FY (200%)</v>
      </c>
    </row>
    <row r="73" spans="12:35" x14ac:dyDescent="0.25">
      <c r="L73" s="75" t="s">
        <v>25</v>
      </c>
      <c r="M73" s="76" t="s">
        <v>9</v>
      </c>
      <c r="N73" s="77" t="s">
        <v>10</v>
      </c>
      <c r="O73" s="21" t="s">
        <v>11</v>
      </c>
      <c r="Q73" s="75" t="s">
        <v>25</v>
      </c>
      <c r="R73" s="76" t="s">
        <v>9</v>
      </c>
      <c r="S73" s="77" t="s">
        <v>10</v>
      </c>
      <c r="T73" s="21" t="s">
        <v>11</v>
      </c>
      <c r="V73" s="75" t="s">
        <v>25</v>
      </c>
      <c r="W73" s="76" t="s">
        <v>9</v>
      </c>
      <c r="X73" s="77" t="s">
        <v>10</v>
      </c>
      <c r="Y73" s="21" t="s">
        <v>11</v>
      </c>
      <c r="AA73" s="75" t="s">
        <v>25</v>
      </c>
      <c r="AB73" s="76" t="s">
        <v>9</v>
      </c>
      <c r="AC73" s="77" t="s">
        <v>10</v>
      </c>
      <c r="AD73" s="21" t="s">
        <v>11</v>
      </c>
      <c r="AF73" s="75" t="s">
        <v>25</v>
      </c>
      <c r="AG73" s="76" t="s">
        <v>9</v>
      </c>
      <c r="AH73" s="77" t="s">
        <v>10</v>
      </c>
      <c r="AI73" s="21" t="s">
        <v>11</v>
      </c>
    </row>
    <row r="74" spans="12:35" x14ac:dyDescent="0.25">
      <c r="L74" s="27">
        <f>L84*0.973</f>
        <v>0</v>
      </c>
      <c r="M74" s="79">
        <v>0.97299999999999998</v>
      </c>
      <c r="N74" s="29">
        <v>0</v>
      </c>
      <c r="O74" s="30">
        <f t="shared" ref="O74:O83" si="73">O$84*N74</f>
        <v>0</v>
      </c>
      <c r="Q74" s="27">
        <f>Q84*0.973</f>
        <v>0</v>
      </c>
      <c r="R74" s="79">
        <v>0.97299999999999998</v>
      </c>
      <c r="S74" s="29">
        <v>0</v>
      </c>
      <c r="T74" s="30">
        <f t="shared" ref="T74:T83" si="74">T$84*S74</f>
        <v>0</v>
      </c>
      <c r="V74" s="27">
        <f>V84*0.973</f>
        <v>0</v>
      </c>
      <c r="W74" s="79">
        <v>0.97299999999999998</v>
      </c>
      <c r="X74" s="29">
        <v>0</v>
      </c>
      <c r="Y74" s="30">
        <f t="shared" ref="Y74:Y83" si="75">Y$84*X74</f>
        <v>0</v>
      </c>
      <c r="AA74" s="27">
        <f>AA84*0.973</f>
        <v>0</v>
      </c>
      <c r="AB74" s="79">
        <v>0.97299999999999998</v>
      </c>
      <c r="AC74" s="29">
        <v>0</v>
      </c>
      <c r="AD74" s="30">
        <f t="shared" ref="AD74:AD83" si="76">AD$84*AC74</f>
        <v>0</v>
      </c>
      <c r="AF74" s="27">
        <v>40.439</v>
      </c>
      <c r="AG74" s="28">
        <f t="shared" ref="AG74:AG84" si="77">AF74/$AF$74</f>
        <v>1</v>
      </c>
      <c r="AH74" s="29">
        <v>0</v>
      </c>
      <c r="AI74" s="30">
        <f t="shared" ref="AI74:AI83" si="78">AI$84*AH74</f>
        <v>0</v>
      </c>
    </row>
    <row r="75" spans="12:35" x14ac:dyDescent="0.25">
      <c r="L75" s="31">
        <f t="shared" ref="L75:L83" si="79">L74+(L$84-L$74)/10</f>
        <v>0</v>
      </c>
      <c r="M75" s="80">
        <v>0.97570000000000001</v>
      </c>
      <c r="N75" s="33">
        <v>0.1</v>
      </c>
      <c r="O75" s="34">
        <f t="shared" si="73"/>
        <v>0</v>
      </c>
      <c r="Q75" s="31">
        <f t="shared" ref="Q75:Q83" si="80">Q74+(Q$84-Q$74)/10</f>
        <v>0</v>
      </c>
      <c r="R75" s="80">
        <v>0.97570000000000001</v>
      </c>
      <c r="S75" s="33">
        <v>0.1</v>
      </c>
      <c r="T75" s="34">
        <f t="shared" si="74"/>
        <v>0</v>
      </c>
      <c r="V75" s="31">
        <f t="shared" ref="V75:V83" si="81">V74+(V$84-V$74)/10</f>
        <v>0</v>
      </c>
      <c r="W75" s="80">
        <v>0.97570000000000001</v>
      </c>
      <c r="X75" s="33">
        <v>0.1</v>
      </c>
      <c r="Y75" s="34">
        <f t="shared" si="75"/>
        <v>0</v>
      </c>
      <c r="AA75" s="31">
        <f t="shared" ref="AA75:AA83" si="82">AA74+(AA$84-AA$74)/10</f>
        <v>0</v>
      </c>
      <c r="AB75" s="80">
        <v>0.97570000000000001</v>
      </c>
      <c r="AC75" s="33">
        <v>0.1</v>
      </c>
      <c r="AD75" s="34">
        <f t="shared" si="76"/>
        <v>0</v>
      </c>
      <c r="AF75" s="31">
        <f t="shared" ref="AF75:AF83" si="83">AF74+(AF$84-AF$74)/10</f>
        <v>40.574555091528644</v>
      </c>
      <c r="AG75" s="32">
        <f t="shared" si="77"/>
        <v>1.0033520881210871</v>
      </c>
      <c r="AH75" s="33">
        <v>0.1</v>
      </c>
      <c r="AI75" s="34">
        <f t="shared" si="78"/>
        <v>1.0000000000000002E-2</v>
      </c>
    </row>
    <row r="76" spans="12:35" x14ac:dyDescent="0.25">
      <c r="L76" s="31">
        <f t="shared" si="79"/>
        <v>0</v>
      </c>
      <c r="M76" s="80">
        <v>0.97840000000000005</v>
      </c>
      <c r="N76" s="33">
        <v>0.2</v>
      </c>
      <c r="O76" s="34">
        <f t="shared" si="73"/>
        <v>0</v>
      </c>
      <c r="Q76" s="31">
        <f t="shared" si="80"/>
        <v>0</v>
      </c>
      <c r="R76" s="80">
        <v>0.97840000000000005</v>
      </c>
      <c r="S76" s="33">
        <v>0.2</v>
      </c>
      <c r="T76" s="34">
        <f t="shared" si="74"/>
        <v>0</v>
      </c>
      <c r="V76" s="31">
        <f t="shared" si="81"/>
        <v>0</v>
      </c>
      <c r="W76" s="80">
        <v>0.97840000000000005</v>
      </c>
      <c r="X76" s="33">
        <v>0.2</v>
      </c>
      <c r="Y76" s="34">
        <f t="shared" si="75"/>
        <v>0</v>
      </c>
      <c r="AA76" s="31">
        <f t="shared" si="82"/>
        <v>0</v>
      </c>
      <c r="AB76" s="80">
        <v>0.97840000000000005</v>
      </c>
      <c r="AC76" s="33">
        <v>0.2</v>
      </c>
      <c r="AD76" s="34">
        <f t="shared" si="76"/>
        <v>0</v>
      </c>
      <c r="AF76" s="31">
        <f t="shared" si="83"/>
        <v>40.710110183057289</v>
      </c>
      <c r="AG76" s="32">
        <f t="shared" si="77"/>
        <v>1.0067041762421745</v>
      </c>
      <c r="AH76" s="33">
        <v>0.2</v>
      </c>
      <c r="AI76" s="34">
        <f t="shared" si="78"/>
        <v>2.0000000000000004E-2</v>
      </c>
    </row>
    <row r="77" spans="12:35" x14ac:dyDescent="0.25">
      <c r="L77" s="31">
        <f t="shared" si="79"/>
        <v>0</v>
      </c>
      <c r="M77" s="80">
        <v>0.98109999999999997</v>
      </c>
      <c r="N77" s="33">
        <v>0.3</v>
      </c>
      <c r="O77" s="34">
        <f t="shared" si="73"/>
        <v>0</v>
      </c>
      <c r="Q77" s="31">
        <f t="shared" si="80"/>
        <v>0</v>
      </c>
      <c r="R77" s="80">
        <v>0.98109999999999997</v>
      </c>
      <c r="S77" s="33">
        <v>0.3</v>
      </c>
      <c r="T77" s="34">
        <f t="shared" si="74"/>
        <v>0</v>
      </c>
      <c r="V77" s="31">
        <f t="shared" si="81"/>
        <v>0</v>
      </c>
      <c r="W77" s="80">
        <v>0.98109999999999997</v>
      </c>
      <c r="X77" s="33">
        <v>0.3</v>
      </c>
      <c r="Y77" s="34">
        <f t="shared" si="75"/>
        <v>0</v>
      </c>
      <c r="AA77" s="31">
        <f t="shared" si="82"/>
        <v>0</v>
      </c>
      <c r="AB77" s="80">
        <v>0.98109999999999997</v>
      </c>
      <c r="AC77" s="33">
        <v>0.3</v>
      </c>
      <c r="AD77" s="34">
        <f t="shared" si="76"/>
        <v>0</v>
      </c>
      <c r="AF77" s="31">
        <f t="shared" si="83"/>
        <v>40.845665274585933</v>
      </c>
      <c r="AG77" s="32">
        <f t="shared" si="77"/>
        <v>1.0100562643632616</v>
      </c>
      <c r="AH77" s="33">
        <v>0.3</v>
      </c>
      <c r="AI77" s="34">
        <f t="shared" si="78"/>
        <v>0.03</v>
      </c>
    </row>
    <row r="78" spans="12:35" x14ac:dyDescent="0.25">
      <c r="L78" s="31">
        <f t="shared" si="79"/>
        <v>0</v>
      </c>
      <c r="M78" s="80">
        <v>0.98380000000000001</v>
      </c>
      <c r="N78" s="33">
        <v>0.4</v>
      </c>
      <c r="O78" s="34">
        <f t="shared" si="73"/>
        <v>0</v>
      </c>
      <c r="Q78" s="31">
        <f t="shared" si="80"/>
        <v>0</v>
      </c>
      <c r="R78" s="80">
        <v>0.98380000000000001</v>
      </c>
      <c r="S78" s="33">
        <v>0.4</v>
      </c>
      <c r="T78" s="34">
        <f t="shared" si="74"/>
        <v>0</v>
      </c>
      <c r="V78" s="31">
        <f t="shared" si="81"/>
        <v>0</v>
      </c>
      <c r="W78" s="80">
        <v>0.98380000000000001</v>
      </c>
      <c r="X78" s="33">
        <v>0.4</v>
      </c>
      <c r="Y78" s="34">
        <f t="shared" si="75"/>
        <v>0</v>
      </c>
      <c r="AA78" s="31">
        <f t="shared" si="82"/>
        <v>0</v>
      </c>
      <c r="AB78" s="80">
        <v>0.98380000000000001</v>
      </c>
      <c r="AC78" s="33">
        <v>0.4</v>
      </c>
      <c r="AD78" s="34">
        <f t="shared" si="76"/>
        <v>0</v>
      </c>
      <c r="AF78" s="31">
        <f t="shared" si="83"/>
        <v>40.981220366114577</v>
      </c>
      <c r="AG78" s="32">
        <f t="shared" si="77"/>
        <v>1.0134083524843487</v>
      </c>
      <c r="AH78" s="33">
        <v>0.4</v>
      </c>
      <c r="AI78" s="34">
        <f t="shared" si="78"/>
        <v>4.0000000000000008E-2</v>
      </c>
    </row>
    <row r="79" spans="12:35" x14ac:dyDescent="0.25">
      <c r="L79" s="31">
        <f t="shared" si="79"/>
        <v>0</v>
      </c>
      <c r="M79" s="80">
        <v>0.98650000000000004</v>
      </c>
      <c r="N79" s="33">
        <v>0.5</v>
      </c>
      <c r="O79" s="34">
        <f t="shared" si="73"/>
        <v>0</v>
      </c>
      <c r="Q79" s="31">
        <f t="shared" si="80"/>
        <v>0</v>
      </c>
      <c r="R79" s="80">
        <v>0.98650000000000004</v>
      </c>
      <c r="S79" s="33">
        <v>0.5</v>
      </c>
      <c r="T79" s="34">
        <f t="shared" si="74"/>
        <v>0</v>
      </c>
      <c r="V79" s="31">
        <f t="shared" si="81"/>
        <v>0</v>
      </c>
      <c r="W79" s="80">
        <v>0.98650000000000004</v>
      </c>
      <c r="X79" s="33">
        <v>0.5</v>
      </c>
      <c r="Y79" s="34">
        <f t="shared" si="75"/>
        <v>0</v>
      </c>
      <c r="AA79" s="31">
        <f t="shared" si="82"/>
        <v>0</v>
      </c>
      <c r="AB79" s="80">
        <v>0.98650000000000004</v>
      </c>
      <c r="AC79" s="33">
        <v>0.5</v>
      </c>
      <c r="AD79" s="34">
        <f t="shared" si="76"/>
        <v>0</v>
      </c>
      <c r="AF79" s="31">
        <f t="shared" si="83"/>
        <v>41.116775457643222</v>
      </c>
      <c r="AG79" s="32">
        <f t="shared" si="77"/>
        <v>1.0167604406054358</v>
      </c>
      <c r="AH79" s="33">
        <v>0.5</v>
      </c>
      <c r="AI79" s="34">
        <f t="shared" si="78"/>
        <v>0.05</v>
      </c>
    </row>
    <row r="80" spans="12:35" x14ac:dyDescent="0.25">
      <c r="L80" s="31">
        <f t="shared" si="79"/>
        <v>0</v>
      </c>
      <c r="M80" s="80">
        <v>0.98919999999999997</v>
      </c>
      <c r="N80" s="33">
        <v>0.6</v>
      </c>
      <c r="O80" s="34">
        <f t="shared" si="73"/>
        <v>0</v>
      </c>
      <c r="Q80" s="31">
        <f t="shared" si="80"/>
        <v>0</v>
      </c>
      <c r="R80" s="80">
        <v>0.98919999999999997</v>
      </c>
      <c r="S80" s="33">
        <v>0.6</v>
      </c>
      <c r="T80" s="34">
        <f t="shared" si="74"/>
        <v>0</v>
      </c>
      <c r="V80" s="31">
        <f t="shared" si="81"/>
        <v>0</v>
      </c>
      <c r="W80" s="80">
        <v>0.98919999999999997</v>
      </c>
      <c r="X80" s="33">
        <v>0.6</v>
      </c>
      <c r="Y80" s="34">
        <f t="shared" si="75"/>
        <v>0</v>
      </c>
      <c r="AA80" s="31">
        <f t="shared" si="82"/>
        <v>0</v>
      </c>
      <c r="AB80" s="80">
        <v>0.98919999999999997</v>
      </c>
      <c r="AC80" s="33">
        <v>0.6</v>
      </c>
      <c r="AD80" s="34">
        <f t="shared" si="76"/>
        <v>0</v>
      </c>
      <c r="AF80" s="31">
        <f t="shared" si="83"/>
        <v>41.252330549171866</v>
      </c>
      <c r="AG80" s="32">
        <f t="shared" si="77"/>
        <v>1.0201125287265231</v>
      </c>
      <c r="AH80" s="33">
        <v>0.6</v>
      </c>
      <c r="AI80" s="34">
        <f t="shared" si="78"/>
        <v>0.06</v>
      </c>
    </row>
    <row r="81" spans="12:35" x14ac:dyDescent="0.25">
      <c r="L81" s="31">
        <f t="shared" si="79"/>
        <v>0</v>
      </c>
      <c r="M81" s="80">
        <v>0.9919</v>
      </c>
      <c r="N81" s="33">
        <v>0.7</v>
      </c>
      <c r="O81" s="34">
        <f t="shared" si="73"/>
        <v>0</v>
      </c>
      <c r="Q81" s="31">
        <f t="shared" si="80"/>
        <v>0</v>
      </c>
      <c r="R81" s="80">
        <v>0.9919</v>
      </c>
      <c r="S81" s="33">
        <v>0.7</v>
      </c>
      <c r="T81" s="34">
        <f t="shared" si="74"/>
        <v>0</v>
      </c>
      <c r="V81" s="31">
        <f t="shared" si="81"/>
        <v>0</v>
      </c>
      <c r="W81" s="80">
        <v>0.9919</v>
      </c>
      <c r="X81" s="33">
        <v>0.7</v>
      </c>
      <c r="Y81" s="34">
        <f t="shared" si="75"/>
        <v>0</v>
      </c>
      <c r="AA81" s="31">
        <f t="shared" si="82"/>
        <v>0</v>
      </c>
      <c r="AB81" s="80">
        <v>0.9919</v>
      </c>
      <c r="AC81" s="33">
        <v>0.7</v>
      </c>
      <c r="AD81" s="34">
        <f t="shared" si="76"/>
        <v>0</v>
      </c>
      <c r="AF81" s="31">
        <f t="shared" si="83"/>
        <v>41.38788564070051</v>
      </c>
      <c r="AG81" s="32">
        <f t="shared" si="77"/>
        <v>1.0234646168476103</v>
      </c>
      <c r="AH81" s="33">
        <v>0.7</v>
      </c>
      <c r="AI81" s="34">
        <f t="shared" si="78"/>
        <v>6.9999999999999993E-2</v>
      </c>
    </row>
    <row r="82" spans="12:35" x14ac:dyDescent="0.25">
      <c r="L82" s="31">
        <f t="shared" si="79"/>
        <v>0</v>
      </c>
      <c r="M82" s="80">
        <v>0.99460000000000004</v>
      </c>
      <c r="N82" s="33">
        <v>0.8</v>
      </c>
      <c r="O82" s="34">
        <f t="shared" si="73"/>
        <v>0</v>
      </c>
      <c r="Q82" s="31">
        <f t="shared" si="80"/>
        <v>0</v>
      </c>
      <c r="R82" s="80">
        <v>0.99460000000000004</v>
      </c>
      <c r="S82" s="33">
        <v>0.8</v>
      </c>
      <c r="T82" s="34">
        <f t="shared" si="74"/>
        <v>0</v>
      </c>
      <c r="V82" s="31">
        <f t="shared" si="81"/>
        <v>0</v>
      </c>
      <c r="W82" s="80">
        <v>0.99460000000000004</v>
      </c>
      <c r="X82" s="33">
        <v>0.8</v>
      </c>
      <c r="Y82" s="34">
        <f t="shared" si="75"/>
        <v>0</v>
      </c>
      <c r="AA82" s="31">
        <f t="shared" si="82"/>
        <v>0</v>
      </c>
      <c r="AB82" s="80">
        <v>0.99460000000000004</v>
      </c>
      <c r="AC82" s="33">
        <v>0.8</v>
      </c>
      <c r="AD82" s="34">
        <f t="shared" si="76"/>
        <v>0</v>
      </c>
      <c r="AF82" s="31">
        <f t="shared" si="83"/>
        <v>41.523440732229155</v>
      </c>
      <c r="AG82" s="32">
        <f t="shared" si="77"/>
        <v>1.0268167049686974</v>
      </c>
      <c r="AH82" s="33">
        <v>0.8</v>
      </c>
      <c r="AI82" s="34">
        <f t="shared" si="78"/>
        <v>8.0000000000000016E-2</v>
      </c>
    </row>
    <row r="83" spans="12:35" x14ac:dyDescent="0.25">
      <c r="L83" s="31">
        <f t="shared" si="79"/>
        <v>0</v>
      </c>
      <c r="M83" s="80">
        <v>0.99729999999999996</v>
      </c>
      <c r="N83" s="33">
        <v>0.9</v>
      </c>
      <c r="O83" s="34">
        <f t="shared" si="73"/>
        <v>0</v>
      </c>
      <c r="Q83" s="31">
        <f t="shared" si="80"/>
        <v>0</v>
      </c>
      <c r="R83" s="80">
        <v>0.99729999999999996</v>
      </c>
      <c r="S83" s="33">
        <v>0.9</v>
      </c>
      <c r="T83" s="34">
        <f t="shared" si="74"/>
        <v>0</v>
      </c>
      <c r="V83" s="31">
        <f t="shared" si="81"/>
        <v>0</v>
      </c>
      <c r="W83" s="80">
        <v>0.99729999999999996</v>
      </c>
      <c r="X83" s="33">
        <v>0.9</v>
      </c>
      <c r="Y83" s="34">
        <f t="shared" si="75"/>
        <v>0</v>
      </c>
      <c r="AA83" s="31">
        <f t="shared" si="82"/>
        <v>0</v>
      </c>
      <c r="AB83" s="80">
        <v>0.99729999999999996</v>
      </c>
      <c r="AC83" s="33">
        <v>0.9</v>
      </c>
      <c r="AD83" s="34">
        <f t="shared" si="76"/>
        <v>0</v>
      </c>
      <c r="AF83" s="31">
        <f t="shared" si="83"/>
        <v>41.658995823757799</v>
      </c>
      <c r="AG83" s="32">
        <f t="shared" si="77"/>
        <v>1.0301687930897845</v>
      </c>
      <c r="AH83" s="33">
        <v>0.9</v>
      </c>
      <c r="AI83" s="34">
        <f t="shared" si="78"/>
        <v>9.0000000000000011E-2</v>
      </c>
    </row>
    <row r="84" spans="12:35" x14ac:dyDescent="0.25">
      <c r="L84" s="78">
        <f>$AM$8</f>
        <v>0</v>
      </c>
      <c r="M84" s="41">
        <v>1</v>
      </c>
      <c r="N84" s="41">
        <v>1</v>
      </c>
      <c r="O84" s="41">
        <f>$C$8</f>
        <v>0</v>
      </c>
      <c r="Q84" s="78">
        <f>$AN$8</f>
        <v>0</v>
      </c>
      <c r="R84" s="41">
        <v>1</v>
      </c>
      <c r="S84" s="41">
        <v>1</v>
      </c>
      <c r="T84" s="41">
        <f>$D$8</f>
        <v>0</v>
      </c>
      <c r="V84" s="78">
        <f>$AO$8</f>
        <v>0</v>
      </c>
      <c r="W84" s="41">
        <v>1</v>
      </c>
      <c r="X84" s="41">
        <v>1</v>
      </c>
      <c r="Y84" s="41">
        <f>$E$8</f>
        <v>0</v>
      </c>
      <c r="AA84" s="78">
        <f>$AP$8</f>
        <v>0</v>
      </c>
      <c r="AB84" s="41">
        <v>1</v>
      </c>
      <c r="AC84" s="41">
        <v>1</v>
      </c>
      <c r="AD84" s="41">
        <f>$F$8</f>
        <v>0</v>
      </c>
      <c r="AF84" s="78">
        <v>41.794550915286472</v>
      </c>
      <c r="AG84" s="81">
        <f t="shared" si="77"/>
        <v>1.0335208812108725</v>
      </c>
      <c r="AH84" s="41">
        <v>1</v>
      </c>
      <c r="AI84" s="41">
        <f>$G$8</f>
        <v>0.1</v>
      </c>
    </row>
  </sheetData>
  <conditionalFormatting sqref="C17:F23">
    <cfRule type="top10" dxfId="1" priority="2" percent="1" rank="10"/>
  </conditionalFormatting>
  <conditionalFormatting sqref="C26:F32">
    <cfRule type="top10" dxfId="0" priority="1" percent="1" rank="10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Расчётная модель SIP</vt:lpstr>
      <vt:lpstr>Данные по перфомансу</vt:lpstr>
      <vt:lpstr>Сводная таблица</vt:lpstr>
      <vt:lpstr>Сценарий 2</vt:lpstr>
      <vt:lpstr>Сценарий 3</vt:lpstr>
      <vt:lpstr>Сценарий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Gorbunov, Mikhail</dc:creator>
  <cp:lastModifiedBy>nikitakuvsh .</cp:lastModifiedBy>
  <dcterms:created xsi:type="dcterms:W3CDTF">2026-05-08T09:30:30Z</dcterms:created>
  <dcterms:modified xsi:type="dcterms:W3CDTF">2026-05-12T15:10:18Z</dcterms:modified>
</cp:coreProperties>
</file>